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Tun tun\OneDrive\Desktop\DSS---AHP-TOPSIS-MODEL\data\"/>
    </mc:Choice>
  </mc:AlternateContent>
  <xr:revisionPtr revIDLastSave="0" documentId="13_ncr:1_{82F11F3A-6435-4B04-8FED-FC9E8F1FC1CE}" xr6:coauthVersionLast="47" xr6:coauthVersionMax="47" xr10:uidLastSave="{00000000-0000-0000-0000-000000000000}"/>
  <bookViews>
    <workbookView xWindow="-19310" yWindow="-110" windowWidth="19420" windowHeight="12220" xr2:uid="{00000000-000D-0000-FFFF-FFFF00000000}"/>
  </bookViews>
  <sheets>
    <sheet name="Tổng hợp" sheetId="1" r:id="rId1"/>
    <sheet name="Gia nhập thị trường" sheetId="2" r:id="rId2"/>
    <sheet name="Tiếp cận đất đai" sheetId="3" r:id="rId3"/>
    <sheet name="Tính Minh bạch" sheetId="4" r:id="rId4"/>
    <sheet name="Chi phí thời gian" sheetId="5" r:id="rId5"/>
    <sheet name="Chi phí không chính thức" sheetId="6" r:id="rId6"/>
    <sheet name="Cạnh tranh bình đẳng" sheetId="7" r:id="rId7"/>
    <sheet name="Tính Năng động" sheetId="8" r:id="rId8"/>
    <sheet name="Chính sách hỗ trợ DN" sheetId="9" r:id="rId9"/>
    <sheet name="Đào tạo lao động" sheetId="10" r:id="rId10"/>
    <sheet name="Thiết chế pháp lý và ANTT" sheetId="11" r:id="rId11"/>
    <sheet name="Tập trung dân cư" sheetId="12" r:id="rId12"/>
    <sheet name="Bão hòa khu vực" sheetId="13" r:id="rId13"/>
  </sheets>
  <definedNames>
    <definedName name="_xlnm._FilterDatabase" localSheetId="0" hidden="1">'Tổng hợp'!$A$1:$N$64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69" i="11" l="1"/>
  <c r="S69" i="11"/>
  <c r="R69" i="11"/>
  <c r="Q69" i="11"/>
  <c r="P69" i="11"/>
  <c r="O69" i="11"/>
  <c r="N69" i="11"/>
  <c r="M69" i="11"/>
  <c r="L69" i="11"/>
  <c r="K69" i="11"/>
  <c r="J69" i="11"/>
  <c r="I69" i="11"/>
  <c r="H69" i="11"/>
  <c r="G69" i="11"/>
  <c r="F69" i="11"/>
  <c r="E69" i="11"/>
  <c r="D69" i="11"/>
  <c r="C69" i="11"/>
  <c r="B69" i="11"/>
  <c r="T68" i="11"/>
  <c r="S68" i="11"/>
  <c r="R68" i="11"/>
  <c r="Q68" i="11"/>
  <c r="P68" i="11"/>
  <c r="O68" i="11"/>
  <c r="N68" i="11"/>
  <c r="M68" i="11"/>
  <c r="L68" i="11"/>
  <c r="K68" i="11"/>
  <c r="J68" i="11"/>
  <c r="I68" i="11"/>
  <c r="H68" i="11"/>
  <c r="G68" i="11"/>
  <c r="F68" i="11"/>
  <c r="E68" i="11"/>
  <c r="D68" i="11"/>
  <c r="C68" i="11"/>
  <c r="B68" i="11"/>
  <c r="T67" i="11"/>
  <c r="S67" i="11"/>
  <c r="R67" i="11"/>
  <c r="Q67" i="11"/>
  <c r="P67" i="11"/>
  <c r="O67" i="11"/>
  <c r="N67" i="11"/>
  <c r="M67" i="11"/>
  <c r="L67" i="11"/>
  <c r="K67" i="11"/>
  <c r="J67" i="11"/>
  <c r="I67" i="11"/>
  <c r="H67" i="11"/>
  <c r="G67" i="11"/>
  <c r="F67" i="11"/>
  <c r="E67" i="11"/>
  <c r="D67" i="11"/>
  <c r="C67" i="11"/>
  <c r="B67" i="11"/>
  <c r="N66" i="11"/>
  <c r="N70" i="11" s="1"/>
  <c r="K66" i="11"/>
  <c r="K70" i="11" s="1"/>
  <c r="J66" i="11"/>
  <c r="J70" i="11" s="1"/>
  <c r="I66" i="11"/>
  <c r="I70" i="11" s="1"/>
  <c r="H66" i="11"/>
  <c r="H70" i="11" s="1"/>
  <c r="G66" i="11"/>
  <c r="G70" i="11" s="1"/>
  <c r="E66" i="11"/>
  <c r="E70" i="11" s="1"/>
  <c r="D66" i="11"/>
  <c r="D70" i="11" s="1"/>
  <c r="C66" i="11"/>
  <c r="C70" i="11" s="1"/>
  <c r="B66" i="11"/>
  <c r="B70" i="11" s="1"/>
  <c r="A66" i="11"/>
  <c r="P66" i="11" s="1"/>
  <c r="P70" i="11" s="1"/>
  <c r="C73" i="10"/>
  <c r="M69" i="10"/>
  <c r="L69" i="10"/>
  <c r="K69" i="10"/>
  <c r="J69" i="10"/>
  <c r="I69" i="10"/>
  <c r="H69" i="10"/>
  <c r="G69" i="10"/>
  <c r="F69" i="10"/>
  <c r="E69" i="10"/>
  <c r="D69" i="10"/>
  <c r="C69" i="10"/>
  <c r="B69" i="10"/>
  <c r="M68" i="10"/>
  <c r="L68" i="10"/>
  <c r="K68" i="10"/>
  <c r="J68" i="10"/>
  <c r="I68" i="10"/>
  <c r="H68" i="10"/>
  <c r="G68" i="10"/>
  <c r="F68" i="10"/>
  <c r="E68" i="10"/>
  <c r="D68" i="10"/>
  <c r="C68" i="10"/>
  <c r="B68" i="10"/>
  <c r="M67" i="10"/>
  <c r="L67" i="10"/>
  <c r="K67" i="10"/>
  <c r="J67" i="10"/>
  <c r="I67" i="10"/>
  <c r="H67" i="10"/>
  <c r="G67" i="10"/>
  <c r="F67" i="10"/>
  <c r="E67" i="10"/>
  <c r="D67" i="10"/>
  <c r="C67" i="10"/>
  <c r="B67" i="10"/>
  <c r="A66" i="10"/>
  <c r="L66" i="10" s="1"/>
  <c r="L70" i="10" s="1"/>
  <c r="O70" i="9"/>
  <c r="N70" i="9"/>
  <c r="O69" i="9"/>
  <c r="N69" i="9"/>
  <c r="M69" i="9"/>
  <c r="L69" i="9"/>
  <c r="K69" i="9"/>
  <c r="J69" i="9"/>
  <c r="I69" i="9"/>
  <c r="H69" i="9"/>
  <c r="G69" i="9"/>
  <c r="F69" i="9"/>
  <c r="E69" i="9"/>
  <c r="D69" i="9"/>
  <c r="C69" i="9"/>
  <c r="B69" i="9"/>
  <c r="O68" i="9"/>
  <c r="N68" i="9"/>
  <c r="M68" i="9"/>
  <c r="L68" i="9"/>
  <c r="K68" i="9"/>
  <c r="J68" i="9"/>
  <c r="I68" i="9"/>
  <c r="H68" i="9"/>
  <c r="G68" i="9"/>
  <c r="F68" i="9"/>
  <c r="E68" i="9"/>
  <c r="D68" i="9"/>
  <c r="C68" i="9"/>
  <c r="B68" i="9"/>
  <c r="O67" i="9"/>
  <c r="N67" i="9"/>
  <c r="M67" i="9"/>
  <c r="L67" i="9"/>
  <c r="K67" i="9"/>
  <c r="J67" i="9"/>
  <c r="I67" i="9"/>
  <c r="H67" i="9"/>
  <c r="G67" i="9"/>
  <c r="F67" i="9"/>
  <c r="E67" i="9"/>
  <c r="D67" i="9"/>
  <c r="C67" i="9"/>
  <c r="B67" i="9"/>
  <c r="O66" i="9"/>
  <c r="N66" i="9"/>
  <c r="L66" i="9"/>
  <c r="L70" i="9" s="1"/>
  <c r="K66" i="9"/>
  <c r="K70" i="9" s="1"/>
  <c r="J66" i="9"/>
  <c r="J70" i="9" s="1"/>
  <c r="I66" i="9"/>
  <c r="I70" i="9" s="1"/>
  <c r="A66" i="9"/>
  <c r="C66" i="9" s="1"/>
  <c r="C70" i="9" s="1"/>
  <c r="K69" i="8"/>
  <c r="J69" i="8"/>
  <c r="I69" i="8"/>
  <c r="H69" i="8"/>
  <c r="G69" i="8"/>
  <c r="F69" i="8"/>
  <c r="E69" i="8"/>
  <c r="D69" i="8"/>
  <c r="C69" i="8"/>
  <c r="B69" i="8"/>
  <c r="K68" i="8"/>
  <c r="J68" i="8"/>
  <c r="I68" i="8"/>
  <c r="H68" i="8"/>
  <c r="G68" i="8"/>
  <c r="F68" i="8"/>
  <c r="E68" i="8"/>
  <c r="D68" i="8"/>
  <c r="C68" i="8"/>
  <c r="B68" i="8"/>
  <c r="K67" i="8"/>
  <c r="J67" i="8"/>
  <c r="I67" i="8"/>
  <c r="H67" i="8"/>
  <c r="G67" i="8"/>
  <c r="F67" i="8"/>
  <c r="E67" i="8"/>
  <c r="D67" i="8"/>
  <c r="C67" i="8"/>
  <c r="B67" i="8"/>
  <c r="A66" i="8"/>
  <c r="B66" i="8" s="1"/>
  <c r="B70" i="8" s="1"/>
  <c r="M69" i="7"/>
  <c r="L69" i="7"/>
  <c r="K69" i="7"/>
  <c r="J69" i="7"/>
  <c r="I69" i="7"/>
  <c r="H69" i="7"/>
  <c r="G69" i="7"/>
  <c r="F69" i="7"/>
  <c r="E69" i="7"/>
  <c r="D69" i="7"/>
  <c r="C69" i="7"/>
  <c r="B69" i="7"/>
  <c r="M68" i="7"/>
  <c r="L68" i="7"/>
  <c r="K68" i="7"/>
  <c r="J68" i="7"/>
  <c r="I68" i="7"/>
  <c r="H68" i="7"/>
  <c r="G68" i="7"/>
  <c r="F68" i="7"/>
  <c r="E68" i="7"/>
  <c r="D68" i="7"/>
  <c r="C68" i="7"/>
  <c r="B68" i="7"/>
  <c r="M67" i="7"/>
  <c r="L67" i="7"/>
  <c r="K67" i="7"/>
  <c r="J67" i="7"/>
  <c r="I67" i="7"/>
  <c r="H67" i="7"/>
  <c r="G67" i="7"/>
  <c r="F67" i="7"/>
  <c r="E67" i="7"/>
  <c r="D67" i="7"/>
  <c r="C67" i="7"/>
  <c r="B67" i="7"/>
  <c r="A66" i="7"/>
  <c r="M66" i="7" s="1"/>
  <c r="M70" i="7" s="1"/>
  <c r="F70" i="6"/>
  <c r="R69" i="6"/>
  <c r="Q69" i="6"/>
  <c r="P69" i="6"/>
  <c r="O69" i="6"/>
  <c r="N69" i="6"/>
  <c r="M69" i="6"/>
  <c r="L69" i="6"/>
  <c r="K69" i="6"/>
  <c r="J69" i="6"/>
  <c r="I69" i="6"/>
  <c r="H69" i="6"/>
  <c r="G69" i="6"/>
  <c r="F69" i="6"/>
  <c r="E69" i="6"/>
  <c r="D69" i="6"/>
  <c r="C69" i="6"/>
  <c r="B69" i="6"/>
  <c r="R68" i="6"/>
  <c r="Q68" i="6"/>
  <c r="P68" i="6"/>
  <c r="O68" i="6"/>
  <c r="N68" i="6"/>
  <c r="M68" i="6"/>
  <c r="L68" i="6"/>
  <c r="K68" i="6"/>
  <c r="J68" i="6"/>
  <c r="I68" i="6"/>
  <c r="H68" i="6"/>
  <c r="G68" i="6"/>
  <c r="F68" i="6"/>
  <c r="E68" i="6"/>
  <c r="D68" i="6"/>
  <c r="C68" i="6"/>
  <c r="B68" i="6"/>
  <c r="R67" i="6"/>
  <c r="Q67" i="6"/>
  <c r="P67" i="6"/>
  <c r="O67" i="6"/>
  <c r="N67" i="6"/>
  <c r="M67" i="6"/>
  <c r="L67" i="6"/>
  <c r="K67" i="6"/>
  <c r="J67" i="6"/>
  <c r="I67" i="6"/>
  <c r="H67" i="6"/>
  <c r="G67" i="6"/>
  <c r="F67" i="6"/>
  <c r="E67" i="6"/>
  <c r="D67" i="6"/>
  <c r="C67" i="6"/>
  <c r="B67" i="6"/>
  <c r="Q66" i="6"/>
  <c r="Q70" i="6" s="1"/>
  <c r="P66" i="6"/>
  <c r="P70" i="6" s="1"/>
  <c r="O66" i="6"/>
  <c r="O70" i="6" s="1"/>
  <c r="N66" i="6"/>
  <c r="N70" i="6" s="1"/>
  <c r="M66" i="6"/>
  <c r="M70" i="6" s="1"/>
  <c r="L66" i="6"/>
  <c r="L70" i="6" s="1"/>
  <c r="K66" i="6"/>
  <c r="K70" i="6" s="1"/>
  <c r="J66" i="6"/>
  <c r="J70" i="6" s="1"/>
  <c r="I66" i="6"/>
  <c r="I70" i="6" s="1"/>
  <c r="H66" i="6"/>
  <c r="H70" i="6" s="1"/>
  <c r="G66" i="6"/>
  <c r="G70" i="6" s="1"/>
  <c r="F66" i="6"/>
  <c r="E66" i="6"/>
  <c r="E70" i="6" s="1"/>
  <c r="C66" i="6"/>
  <c r="C70" i="6" s="1"/>
  <c r="B66" i="6"/>
  <c r="B70" i="6" s="1"/>
  <c r="A66" i="6"/>
  <c r="R66" i="6" s="1"/>
  <c r="R70" i="6" s="1"/>
  <c r="P69" i="5"/>
  <c r="O69" i="5"/>
  <c r="N69" i="5"/>
  <c r="M69" i="5"/>
  <c r="L69" i="5"/>
  <c r="K69" i="5"/>
  <c r="J69" i="5"/>
  <c r="I69" i="5"/>
  <c r="H69" i="5"/>
  <c r="G69" i="5"/>
  <c r="F69" i="5"/>
  <c r="E69" i="5"/>
  <c r="D69" i="5"/>
  <c r="C69" i="5"/>
  <c r="B69" i="5"/>
  <c r="P68" i="5"/>
  <c r="O68" i="5"/>
  <c r="N68" i="5"/>
  <c r="M68" i="5"/>
  <c r="L68" i="5"/>
  <c r="K68" i="5"/>
  <c r="J68" i="5"/>
  <c r="I68" i="5"/>
  <c r="H68" i="5"/>
  <c r="G68" i="5"/>
  <c r="F68" i="5"/>
  <c r="E68" i="5"/>
  <c r="D68" i="5"/>
  <c r="C68" i="5"/>
  <c r="B68" i="5"/>
  <c r="P67" i="5"/>
  <c r="O67" i="5"/>
  <c r="N67" i="5"/>
  <c r="M67" i="5"/>
  <c r="L67" i="5"/>
  <c r="K67" i="5"/>
  <c r="J67" i="5"/>
  <c r="I67" i="5"/>
  <c r="H67" i="5"/>
  <c r="G67" i="5"/>
  <c r="F67" i="5"/>
  <c r="E67" i="5"/>
  <c r="D67" i="5"/>
  <c r="C67" i="5"/>
  <c r="B67" i="5"/>
  <c r="H66" i="5"/>
  <c r="H70" i="5" s="1"/>
  <c r="G66" i="5"/>
  <c r="G70" i="5" s="1"/>
  <c r="F66" i="5"/>
  <c r="F70" i="5" s="1"/>
  <c r="E66" i="5"/>
  <c r="E70" i="5" s="1"/>
  <c r="D66" i="5"/>
  <c r="D70" i="5" s="1"/>
  <c r="C66" i="5"/>
  <c r="C70" i="5" s="1"/>
  <c r="A66" i="5"/>
  <c r="P66" i="5" s="1"/>
  <c r="P70" i="5" s="1"/>
  <c r="Q70" i="4"/>
  <c r="S69" i="4"/>
  <c r="R69" i="4"/>
  <c r="Q69" i="4"/>
  <c r="P69" i="4"/>
  <c r="O69" i="4"/>
  <c r="N69" i="4"/>
  <c r="M69" i="4"/>
  <c r="L69" i="4"/>
  <c r="K69" i="4"/>
  <c r="J69" i="4"/>
  <c r="I69" i="4"/>
  <c r="H69" i="4"/>
  <c r="G69" i="4"/>
  <c r="F69" i="4"/>
  <c r="E69" i="4"/>
  <c r="D69" i="4"/>
  <c r="C69" i="4"/>
  <c r="B69" i="4"/>
  <c r="S68" i="4"/>
  <c r="R68" i="4"/>
  <c r="Q68" i="4"/>
  <c r="P68" i="4"/>
  <c r="O68" i="4"/>
  <c r="N68" i="4"/>
  <c r="M68" i="4"/>
  <c r="L68" i="4"/>
  <c r="K68" i="4"/>
  <c r="J68" i="4"/>
  <c r="I68" i="4"/>
  <c r="H68" i="4"/>
  <c r="G68" i="4"/>
  <c r="F68" i="4"/>
  <c r="E68" i="4"/>
  <c r="D68" i="4"/>
  <c r="C68" i="4"/>
  <c r="B68" i="4"/>
  <c r="S67" i="4"/>
  <c r="R67" i="4"/>
  <c r="Q67" i="4"/>
  <c r="P67" i="4"/>
  <c r="O67" i="4"/>
  <c r="N67" i="4"/>
  <c r="M67" i="4"/>
  <c r="L67" i="4"/>
  <c r="K67" i="4"/>
  <c r="J67" i="4"/>
  <c r="I67" i="4"/>
  <c r="H67" i="4"/>
  <c r="G67" i="4"/>
  <c r="F67" i="4"/>
  <c r="E67" i="4"/>
  <c r="D67" i="4"/>
  <c r="C67" i="4"/>
  <c r="B67" i="4"/>
  <c r="S66" i="4"/>
  <c r="S70" i="4" s="1"/>
  <c r="R66" i="4"/>
  <c r="R70" i="4" s="1"/>
  <c r="Q66" i="4"/>
  <c r="P66" i="4"/>
  <c r="P70" i="4" s="1"/>
  <c r="O66" i="4"/>
  <c r="O70" i="4" s="1"/>
  <c r="N66" i="4"/>
  <c r="N70" i="4" s="1"/>
  <c r="L66" i="4"/>
  <c r="L70" i="4" s="1"/>
  <c r="I66" i="4"/>
  <c r="I70" i="4" s="1"/>
  <c r="A66" i="4"/>
  <c r="H66" i="4" s="1"/>
  <c r="H70" i="4" s="1"/>
  <c r="P69" i="3"/>
  <c r="O69" i="3"/>
  <c r="N69" i="3"/>
  <c r="M69" i="3"/>
  <c r="L69" i="3"/>
  <c r="K69" i="3"/>
  <c r="J69" i="3"/>
  <c r="I69" i="3"/>
  <c r="H69" i="3"/>
  <c r="G69" i="3"/>
  <c r="F69" i="3"/>
  <c r="E69" i="3"/>
  <c r="D69" i="3"/>
  <c r="C69" i="3"/>
  <c r="B69" i="3"/>
  <c r="P68" i="3"/>
  <c r="O68" i="3"/>
  <c r="N68" i="3"/>
  <c r="M68" i="3"/>
  <c r="L68" i="3"/>
  <c r="K68" i="3"/>
  <c r="J68" i="3"/>
  <c r="I68" i="3"/>
  <c r="H68" i="3"/>
  <c r="G68" i="3"/>
  <c r="F68" i="3"/>
  <c r="E68" i="3"/>
  <c r="D68" i="3"/>
  <c r="C68" i="3"/>
  <c r="B68" i="3"/>
  <c r="P67" i="3"/>
  <c r="O67" i="3"/>
  <c r="N67" i="3"/>
  <c r="M67" i="3"/>
  <c r="L67" i="3"/>
  <c r="K67" i="3"/>
  <c r="J67" i="3"/>
  <c r="I67" i="3"/>
  <c r="H67" i="3"/>
  <c r="G67" i="3"/>
  <c r="F67" i="3"/>
  <c r="E67" i="3"/>
  <c r="D67" i="3"/>
  <c r="C67" i="3"/>
  <c r="B67" i="3"/>
  <c r="P66" i="3"/>
  <c r="P70" i="3" s="1"/>
  <c r="O66" i="3"/>
  <c r="O70" i="3" s="1"/>
  <c r="N66" i="3"/>
  <c r="N70" i="3" s="1"/>
  <c r="M66" i="3"/>
  <c r="M70" i="3" s="1"/>
  <c r="L66" i="3"/>
  <c r="L70" i="3" s="1"/>
  <c r="K66" i="3"/>
  <c r="K70" i="3" s="1"/>
  <c r="J66" i="3"/>
  <c r="J70" i="3" s="1"/>
  <c r="I66" i="3"/>
  <c r="I70" i="3" s="1"/>
  <c r="H66" i="3"/>
  <c r="H70" i="3" s="1"/>
  <c r="F66" i="3"/>
  <c r="F70" i="3" s="1"/>
  <c r="E66" i="3"/>
  <c r="E70" i="3" s="1"/>
  <c r="C66" i="3"/>
  <c r="C70" i="3" s="1"/>
  <c r="B66" i="3"/>
  <c r="B70" i="3" s="1"/>
  <c r="A66" i="3"/>
  <c r="D66" i="3" s="1"/>
  <c r="D70" i="3" s="1"/>
  <c r="U69" i="2"/>
  <c r="T69" i="2"/>
  <c r="S69" i="2"/>
  <c r="R69" i="2"/>
  <c r="Q69" i="2"/>
  <c r="P69" i="2"/>
  <c r="O69" i="2"/>
  <c r="N69" i="2"/>
  <c r="M69" i="2"/>
  <c r="L69" i="2"/>
  <c r="K69" i="2"/>
  <c r="J69" i="2"/>
  <c r="I69" i="2"/>
  <c r="H69" i="2"/>
  <c r="G69" i="2"/>
  <c r="F69" i="2"/>
  <c r="E69" i="2"/>
  <c r="D69" i="2"/>
  <c r="C69" i="2"/>
  <c r="B69" i="2"/>
  <c r="U68" i="2"/>
  <c r="T68" i="2"/>
  <c r="S68" i="2"/>
  <c r="R68" i="2"/>
  <c r="Q68" i="2"/>
  <c r="P68" i="2"/>
  <c r="O68" i="2"/>
  <c r="N68" i="2"/>
  <c r="M68" i="2"/>
  <c r="L68" i="2"/>
  <c r="K68" i="2"/>
  <c r="J68" i="2"/>
  <c r="I68" i="2"/>
  <c r="H68" i="2"/>
  <c r="G68" i="2"/>
  <c r="F68" i="2"/>
  <c r="E68" i="2"/>
  <c r="D68" i="2"/>
  <c r="C68" i="2"/>
  <c r="B68" i="2"/>
  <c r="U67" i="2"/>
  <c r="T67" i="2"/>
  <c r="S67" i="2"/>
  <c r="R67" i="2"/>
  <c r="Q67" i="2"/>
  <c r="P67" i="2"/>
  <c r="O67" i="2"/>
  <c r="N67" i="2"/>
  <c r="M67" i="2"/>
  <c r="L67" i="2"/>
  <c r="K67" i="2"/>
  <c r="J67" i="2"/>
  <c r="I67" i="2"/>
  <c r="H67" i="2"/>
  <c r="G67" i="2"/>
  <c r="F67" i="2"/>
  <c r="E67" i="2"/>
  <c r="D67" i="2"/>
  <c r="C67" i="2"/>
  <c r="B67" i="2"/>
  <c r="T66" i="2"/>
  <c r="T70" i="2" s="1"/>
  <c r="S66" i="2"/>
  <c r="S70" i="2" s="1"/>
  <c r="R66" i="2"/>
  <c r="R70" i="2" s="1"/>
  <c r="Q66" i="2"/>
  <c r="Q70" i="2" s="1"/>
  <c r="P66" i="2"/>
  <c r="P70" i="2" s="1"/>
  <c r="O66" i="2"/>
  <c r="O70" i="2" s="1"/>
  <c r="N66" i="2"/>
  <c r="N70" i="2" s="1"/>
  <c r="M66" i="2"/>
  <c r="M70" i="2" s="1"/>
  <c r="L66" i="2"/>
  <c r="L70" i="2" s="1"/>
  <c r="K66" i="2"/>
  <c r="K70" i="2" s="1"/>
  <c r="J66" i="2"/>
  <c r="J70" i="2" s="1"/>
  <c r="I66" i="2"/>
  <c r="I70" i="2" s="1"/>
  <c r="G66" i="2"/>
  <c r="G70" i="2" s="1"/>
  <c r="F66" i="2"/>
  <c r="F70" i="2" s="1"/>
  <c r="C66" i="2"/>
  <c r="C70" i="2" s="1"/>
  <c r="A66" i="2"/>
  <c r="E66" i="2" s="1"/>
  <c r="E70" i="2" s="1"/>
  <c r="D66" i="9" l="1"/>
  <c r="D70" i="9" s="1"/>
  <c r="M66" i="10"/>
  <c r="M70" i="10" s="1"/>
  <c r="Q66" i="11"/>
  <c r="Q70" i="11" s="1"/>
  <c r="J66" i="4"/>
  <c r="J70" i="4" s="1"/>
  <c r="E66" i="9"/>
  <c r="E70" i="9" s="1"/>
  <c r="R66" i="11"/>
  <c r="R70" i="11" s="1"/>
  <c r="H66" i="2"/>
  <c r="H70" i="2" s="1"/>
  <c r="G66" i="3"/>
  <c r="G70" i="3" s="1"/>
  <c r="K66" i="4"/>
  <c r="K70" i="4" s="1"/>
  <c r="D66" i="6"/>
  <c r="D70" i="6" s="1"/>
  <c r="F66" i="9"/>
  <c r="F70" i="9" s="1"/>
  <c r="S66" i="11"/>
  <c r="S70" i="11" s="1"/>
  <c r="G66" i="9"/>
  <c r="G70" i="9" s="1"/>
  <c r="T66" i="11"/>
  <c r="T70" i="11" s="1"/>
  <c r="M66" i="4"/>
  <c r="M70" i="4" s="1"/>
  <c r="B66" i="5"/>
  <c r="B70" i="5" s="1"/>
  <c r="H66" i="9"/>
  <c r="H70" i="9" s="1"/>
  <c r="E66" i="7"/>
  <c r="E70" i="7" s="1"/>
  <c r="D66" i="8"/>
  <c r="D70" i="8" s="1"/>
  <c r="M66" i="9"/>
  <c r="M70" i="9" s="1"/>
  <c r="B66" i="10"/>
  <c r="B70" i="10" s="1"/>
  <c r="F66" i="11"/>
  <c r="F70" i="11" s="1"/>
  <c r="C66" i="7"/>
  <c r="C70" i="7" s="1"/>
  <c r="D66" i="7"/>
  <c r="D70" i="7" s="1"/>
  <c r="F66" i="7"/>
  <c r="F70" i="7" s="1"/>
  <c r="E66" i="8"/>
  <c r="E70" i="8" s="1"/>
  <c r="C66" i="10"/>
  <c r="C66" i="8"/>
  <c r="C70" i="8" s="1"/>
  <c r="I66" i="5"/>
  <c r="I70" i="5" s="1"/>
  <c r="G66" i="7"/>
  <c r="G70" i="7" s="1"/>
  <c r="D66" i="10"/>
  <c r="D70" i="10" s="1"/>
  <c r="H66" i="7"/>
  <c r="H70" i="7" s="1"/>
  <c r="G66" i="8"/>
  <c r="G70" i="8" s="1"/>
  <c r="E66" i="10"/>
  <c r="E70" i="10" s="1"/>
  <c r="F66" i="8"/>
  <c r="F70" i="8" s="1"/>
  <c r="J66" i="5"/>
  <c r="J70" i="5" s="1"/>
  <c r="H66" i="8"/>
  <c r="H70" i="8" s="1"/>
  <c r="C66" i="4"/>
  <c r="C70" i="4" s="1"/>
  <c r="L66" i="5"/>
  <c r="L70" i="5" s="1"/>
  <c r="J66" i="7"/>
  <c r="J70" i="7" s="1"/>
  <c r="I66" i="8"/>
  <c r="I70" i="8" s="1"/>
  <c r="G66" i="10"/>
  <c r="G70" i="10" s="1"/>
  <c r="U66" i="2"/>
  <c r="U70" i="2" s="1"/>
  <c r="D66" i="4"/>
  <c r="D70" i="4" s="1"/>
  <c r="M66" i="5"/>
  <c r="M70" i="5" s="1"/>
  <c r="K66" i="7"/>
  <c r="K70" i="7" s="1"/>
  <c r="J66" i="8"/>
  <c r="J70" i="8" s="1"/>
  <c r="H66" i="10"/>
  <c r="H70" i="10" s="1"/>
  <c r="L66" i="11"/>
  <c r="L70" i="11" s="1"/>
  <c r="B66" i="2"/>
  <c r="B70" i="2" s="1"/>
  <c r="E66" i="4"/>
  <c r="E70" i="4" s="1"/>
  <c r="N66" i="5"/>
  <c r="N70" i="5" s="1"/>
  <c r="L66" i="7"/>
  <c r="L70" i="7" s="1"/>
  <c r="K66" i="8"/>
  <c r="K70" i="8" s="1"/>
  <c r="I66" i="10"/>
  <c r="I70" i="10" s="1"/>
  <c r="M66" i="11"/>
  <c r="M70" i="11" s="1"/>
  <c r="B66" i="7"/>
  <c r="B70" i="7" s="1"/>
  <c r="B66" i="4"/>
  <c r="B70" i="4" s="1"/>
  <c r="K66" i="5"/>
  <c r="K70" i="5" s="1"/>
  <c r="I66" i="7"/>
  <c r="I70" i="7" s="1"/>
  <c r="F66" i="10"/>
  <c r="F70" i="10" s="1"/>
  <c r="F66" i="4"/>
  <c r="F70" i="4" s="1"/>
  <c r="O66" i="5"/>
  <c r="O70" i="5" s="1"/>
  <c r="J66" i="10"/>
  <c r="J70" i="10" s="1"/>
  <c r="D66" i="2"/>
  <c r="D70" i="2" s="1"/>
  <c r="O66" i="11"/>
  <c r="O70" i="11" s="1"/>
  <c r="G66" i="4"/>
  <c r="G70" i="4" s="1"/>
  <c r="B66" i="9"/>
  <c r="B70" i="9" s="1"/>
  <c r="K66" i="10"/>
  <c r="K70" i="10" s="1"/>
  <c r="C70" i="10" l="1"/>
  <c r="C101" i="10" s="1"/>
  <c r="C81" i="10"/>
  <c r="C92" i="10"/>
  <c r="C109" i="10"/>
  <c r="C120" i="10"/>
  <c r="C100" i="10"/>
  <c r="C80" i="10"/>
  <c r="C119" i="10"/>
  <c r="C99" i="10"/>
  <c r="C79" i="10"/>
  <c r="C118" i="10"/>
  <c r="C98" i="10"/>
  <c r="C77" i="10"/>
  <c r="C136" i="10"/>
  <c r="C96" i="10"/>
  <c r="C76" i="10"/>
  <c r="C112" i="10"/>
  <c r="C135" i="10"/>
  <c r="C115" i="10"/>
  <c r="C95" i="10"/>
  <c r="C75" i="10"/>
  <c r="C91" i="10"/>
  <c r="C110" i="10"/>
  <c r="C89" i="10"/>
  <c r="C134" i="10"/>
  <c r="C74" i="10"/>
  <c r="C113" i="10"/>
  <c r="C93" i="10"/>
  <c r="C128" i="10"/>
  <c r="C108" i="10"/>
  <c r="C88" i="10"/>
  <c r="C127" i="10"/>
  <c r="C107" i="10"/>
  <c r="C87" i="10"/>
  <c r="C126" i="10"/>
  <c r="C106" i="10"/>
  <c r="C86" i="10"/>
  <c r="C125" i="10"/>
  <c r="C105" i="10"/>
  <c r="C116" i="10" l="1"/>
  <c r="C140" i="10"/>
  <c r="C137" i="10"/>
  <c r="C138" i="10"/>
  <c r="C139" i="10"/>
  <c r="C129" i="10"/>
  <c r="C82" i="10"/>
  <c r="C132" i="10"/>
  <c r="C102" i="10"/>
  <c r="C84" i="10"/>
  <c r="C131" i="10"/>
  <c r="C122" i="10"/>
  <c r="C104" i="10"/>
  <c r="C83" i="10"/>
  <c r="C124" i="10"/>
  <c r="C94" i="10"/>
  <c r="C117" i="10"/>
  <c r="C103" i="10"/>
  <c r="C121" i="10"/>
  <c r="C133" i="10"/>
  <c r="C130" i="10"/>
  <c r="C111" i="10"/>
  <c r="C90" i="10"/>
  <c r="C97" i="10"/>
  <c r="C85" i="10"/>
  <c r="C114" i="10"/>
  <c r="C78" i="10"/>
  <c r="C142" i="10" s="1"/>
  <c r="C123" i="10"/>
  <c r="C143" i="10" l="1"/>
  <c r="C144" i="10"/>
  <c r="C141" i="10"/>
  <c r="C147" i="10"/>
  <c r="C145" i="10"/>
  <c r="C146" i="10"/>
</calcChain>
</file>

<file path=xl/sharedStrings.xml><?xml version="1.0" encoding="utf-8"?>
<sst xmlns="http://schemas.openxmlformats.org/spreadsheetml/2006/main" count="1754" uniqueCount="245">
  <si>
    <t>Tỉnh/Thành phố</t>
  </si>
  <si>
    <t>CSTP 1: Gia nhập thị trường</t>
  </si>
  <si>
    <t>CSTP 2: Tiếp cận đất đai</t>
  </si>
  <si>
    <t>CSTP 3: Tính Minh bạch</t>
  </si>
  <si>
    <t>CSTP 4: Chi phí thời gian</t>
  </si>
  <si>
    <t>CSTP 5: Chi phí không chính thức</t>
  </si>
  <si>
    <t>CSTP 6: Cạnh tranh bình đẳng</t>
  </si>
  <si>
    <t>CSTP 7: Tính năng động và tiên phong của chính quyền</t>
  </si>
  <si>
    <t>CSTP 8: Chính sách hỗ trợ doanh nghiệp</t>
  </si>
  <si>
    <t>CSTP 9: Đào tạo lao động</t>
  </si>
  <si>
    <t>CSTP 10: Thiết chế pháp lý &amp; An ninh trật tự</t>
  </si>
  <si>
    <t>CSTP 11: Tập trung Dân cư</t>
  </si>
  <si>
    <t>CSTP 12: Chỉ số bão hòa khu vực</t>
  </si>
  <si>
    <t>Vùng</t>
  </si>
  <si>
    <t>An Giang</t>
  </si>
  <si>
    <t>Đồng bằng Sông Cửu Long</t>
  </si>
  <si>
    <t>Bạc Liêu</t>
  </si>
  <si>
    <t>Bắc Giang</t>
  </si>
  <si>
    <t>Trung du miền núi phía Bắc</t>
  </si>
  <si>
    <t>Bắc Kạn</t>
  </si>
  <si>
    <t>Bắc Ninh</t>
  </si>
  <si>
    <t>Đồng bằng sông Hồng</t>
  </si>
  <si>
    <t>Bến Tre</t>
  </si>
  <si>
    <t>Bình Dương</t>
  </si>
  <si>
    <t>Đông Nam Bộ</t>
  </si>
  <si>
    <t>Bình Định</t>
  </si>
  <si>
    <t>Duyên hải miền Trung</t>
  </si>
  <si>
    <t>Bình Phước</t>
  </si>
  <si>
    <t>Bình Thuận</t>
  </si>
  <si>
    <t>BRVT</t>
  </si>
  <si>
    <t>Cà Mau</t>
  </si>
  <si>
    <t>Cao Bằng</t>
  </si>
  <si>
    <t>Cần Thơ</t>
  </si>
  <si>
    <t>Đà Nẵng</t>
  </si>
  <si>
    <t>Đắk Lắk</t>
  </si>
  <si>
    <t>Tây Nguyên</t>
  </si>
  <si>
    <t>Đắk Nông</t>
  </si>
  <si>
    <t>Điện Biên</t>
  </si>
  <si>
    <t>Đồng Nai</t>
  </si>
  <si>
    <t>Đồng Tháp</t>
  </si>
  <si>
    <t>Gia Lai</t>
  </si>
  <si>
    <t>Hà Giang</t>
  </si>
  <si>
    <t>Hà Nam</t>
  </si>
  <si>
    <t>Hà Nội</t>
  </si>
  <si>
    <t>Hà Tĩnh</t>
  </si>
  <si>
    <t>Hải Dương</t>
  </si>
  <si>
    <t>Hải Phòng</t>
  </si>
  <si>
    <t>Hậu Giang</t>
  </si>
  <si>
    <t>Hòa Bình</t>
  </si>
  <si>
    <t>Hưng Yên</t>
  </si>
  <si>
    <t>Khánh Hòa</t>
  </si>
  <si>
    <t>Kiên Giang</t>
  </si>
  <si>
    <t>Kon Tum</t>
  </si>
  <si>
    <t>Lai Châu</t>
  </si>
  <si>
    <t>Lạng Sơn</t>
  </si>
  <si>
    <t>Lào Cai</t>
  </si>
  <si>
    <t>Lâm Đồng</t>
  </si>
  <si>
    <t>Long An</t>
  </si>
  <si>
    <t>Nam Định</t>
  </si>
  <si>
    <t>Nghệ An</t>
  </si>
  <si>
    <t>Ninh Bình</t>
  </si>
  <si>
    <t>Ninh Thuận</t>
  </si>
  <si>
    <t>Phú Thọ</t>
  </si>
  <si>
    <t>Phú Yên</t>
  </si>
  <si>
    <t>Quảng Bình</t>
  </si>
  <si>
    <t>Quảng Nam</t>
  </si>
  <si>
    <t>Quảng Ngãi</t>
  </si>
  <si>
    <t>Quảng Ninh</t>
  </si>
  <si>
    <t>Quảng Trị</t>
  </si>
  <si>
    <t>Sóc Trăng</t>
  </si>
  <si>
    <t>Sơn La</t>
  </si>
  <si>
    <t>Tây Ninh</t>
  </si>
  <si>
    <t>Thái Bình</t>
  </si>
  <si>
    <t>Thái Nguyên</t>
  </si>
  <si>
    <t>Thanh Hóa</t>
  </si>
  <si>
    <t>Tiền Giang</t>
  </si>
  <si>
    <t>TP.HCM</t>
  </si>
  <si>
    <t>Trà Vinh</t>
  </si>
  <si>
    <t>TT-Huế</t>
  </si>
  <si>
    <t>Tuyên Quang</t>
  </si>
  <si>
    <t>Vĩnh Long</t>
  </si>
  <si>
    <t>Vĩnh Phúc</t>
  </si>
  <si>
    <t>Yên Bái</t>
  </si>
  <si>
    <t>Thời gian đăng ký doanh nghiệp  (số ngày trung vị)</t>
  </si>
  <si>
    <t>Tỷ lệ DN cho biết phải sửa đổi, bổ sung hồ sơ ĐKDN từ 2 lần trở lên (%)</t>
  </si>
  <si>
    <t>Thời gian thay đổi nội dung đăng ký doanh nghiệp (số ngày trung vị)</t>
  </si>
  <si>
    <t>Tỷ lệ DN đăng ký hoặc sửa đổi ĐKDN thông qua hình thức mới như đăng ký trực tuyến, đăng ký ở trung tâm hành chính công hoặc qua bưu điện (%)</t>
  </si>
  <si>
    <t xml:space="preserve">Thủ tục tại bộ phận Một cửa được niêm yết công khai (%)  </t>
  </si>
  <si>
    <t xml:space="preserve">Hướng dẫn thủ tục rõ ràng, đầy đủ  tại bộ phận Một cửa (%)  </t>
  </si>
  <si>
    <t xml:space="preserve">Cán bộ tại  bộ phận Một cửa am hiểu về chuyên môn (%)  </t>
  </si>
  <si>
    <t xml:space="preserve">Cán bộ tại bộ phận Một cửa nhiệt tình, thân thiện (%)  </t>
  </si>
  <si>
    <t xml:space="preserve">Việc khai trình việc sử dụng lao động, đề nghị cấp mã số đơn vị tham gia bảo hiểm xã hội và đăng ký sử dụng hóa đơn của doanh nghiệp được thực hiện đồng thời trong quá trình thực hiện thủ tục đăng ký doanh nghiệp (%) </t>
  </si>
  <si>
    <t xml:space="preserve">Hướng dẫn thủ tục cấp phép kinh doanh có điều kiện là rõ ràng, đầy đủ (%) </t>
  </si>
  <si>
    <t xml:space="preserve">Doanh nghiệp không gặp khó khăn gì khi thực hiện thủ tục cấp phép kinh doanh có điều kiện (%) </t>
  </si>
  <si>
    <t>Quy trình giải quyết thủ tục cấp phép kinh doanh có điều kiện đúng như văn bản quy định (%)</t>
  </si>
  <si>
    <t>Thời gian thực hiện thủ tục cấp phép kinh doanh có điều kiện không kéo dài hơn so với văn bản quy định  (%)</t>
  </si>
  <si>
    <t>Chi phí cấp phép kinh doanh có điều kiện không vượt quá mức phí, lệ phí được quy định trong văn bản pháp luật (%)</t>
  </si>
  <si>
    <t>Tỷ lệ DN phải trì hoãn/hủy bỏ kế hoạch kinh doanh do những khó khăn gặp phải khi thực hiện thủ tục ĐKDN (%)</t>
  </si>
  <si>
    <t>Tỷ lệ DN phải hủy bỏ kế hoạch kinh doanh do những khó khăn gặp phải khi thực hiện thủ tục sửa đổi ĐKDN (%)</t>
  </si>
  <si>
    <t xml:space="preserve">Tỷ lệ DN phải hủy bỏ kế hoạch kinh doanh do những khó khăn gặp phải khi thực hiện thủ tục đề nghị cấp Giấy phép kinh doanh có điều kiện (%) </t>
  </si>
  <si>
    <t>Tỷ lệ DN phải chờ hơn MỘT tháng để hoàn thành tất cả các thủ tục để chính thức hoạt động (%)</t>
  </si>
  <si>
    <t>Tỷ lệ DN phải chờ hơn BA tháng để hoàn thành tất cả các thủ tục để chính thức hoạt động (%)</t>
  </si>
  <si>
    <t>Thấp nhất</t>
  </si>
  <si>
    <t>Trung vị</t>
  </si>
  <si>
    <t>Cao nhất</t>
  </si>
  <si>
    <t>Thứ hạng</t>
  </si>
  <si>
    <t>CSTP 2: Tiếp cận đất đai và ổn định trong sử dụng đất</t>
  </si>
  <si>
    <t>Số ngày chờ đợi để được cấp GCNQSDĐ (trung vị)</t>
  </si>
  <si>
    <t>Tỷ lệ doannh nghiệp không gặp cản trở về tiếp cận đất đai hoặc mở rộng mặt bằng kinh doanh (%)</t>
  </si>
  <si>
    <t>Tỷ lệ doanh nghiệp gặp khó khăn về thiếu quỹ đất sạch (%)</t>
  </si>
  <si>
    <t>Tỷ lệ doanh nghiệp gặp khó khăn về tiến độ giải phóng mặt bằng chậm (%)</t>
  </si>
  <si>
    <t>Thông tin, dữ liệu về đất đai không được cung cấp thuận lợi, nhanh chóng (%)</t>
  </si>
  <si>
    <t>Tỷ lệ doanh nghiệp cho biết thời hạn giải quyết hồ sơ đất đai dài hơn so với thời hạn được niêm yết hoặc văn bản quy định (%)</t>
  </si>
  <si>
    <t>Tỷ lệ doanh nghiệp phản ánh cán bộ nhận hồ sơ và giải quyết TTHC đất đai không hướng dẫn chi tiết, đầy đủ (%)</t>
  </si>
  <si>
    <t>Tỷ lệ doanh nghiệp phản ánh thủ tục xác định giá trị quyền sử dụng đất rất mất nhiều thời gian (%)</t>
  </si>
  <si>
    <t>Doanh nghiệp  đánh giá mức độ rủi ro bị thu hồi đất (1=Rất thấp; 5=Rất cao)</t>
  </si>
  <si>
    <t>Tỷ lệ doanh nghiệp tin rằng sẽ được bồi thường thỏa đáng khi bị thu hồi đất (%)</t>
  </si>
  <si>
    <t>Tỷ lệ doanh nghiệp phản ánh sự thay đổi bảng giá đất của tỉnh phù hợp với sự thay đổi giá thị trường (%)</t>
  </si>
  <si>
    <t>Tỷ lệ doanh nghiệp không gặp khó khăn khi thực hiện các TTHC đất đai trong vòng 2 năm qua (%)</t>
  </si>
  <si>
    <t>Tỷ lệ doanh nghiệp không làm thủ tục đề nghị cấp GCNQSDĐ  do lo ngại TTHC rườm rà/ lo ngại cán bộ nhũng nhiễu  (%)</t>
  </si>
  <si>
    <t>Tỷ lệ DN phải trì hoãn / hủy bỏ kế hoạch kinh doanh do gặp khó khăn khi thực hiện các TTHC đất đai (%)</t>
  </si>
  <si>
    <t>Tiếp cận tài liệu quy hoạch (1=Không thể; 5=Rất dễ)</t>
  </si>
  <si>
    <t>Tiếp cận tài liệu pháp lý (1=Không thể; 5=Rất dễ)</t>
  </si>
  <si>
    <t>Tỷ lệ doanh nghiệp quan sát thấy Minh bạch trong đấu thầu (%)</t>
  </si>
  <si>
    <t>Tỷ lệ DN nhận được thông tin, văn bản cần khi yêu cầu cơ quan trong tỉnh cung cấp (% )</t>
  </si>
  <si>
    <t>Số ngày chờ đợi để nhận được thông tin, văn bản yêu cầu (Trung vị)</t>
  </si>
  <si>
    <t>Thông tin trên website của tỉnh về các ưu đãi/khuyến khích/hỗ trợ đầu tư của tỉnh là hữu ích (%)</t>
  </si>
  <si>
    <t>Thông tin trên website của tỉnh về các quy định về thủ tục hành chính là hữu ích (%)</t>
  </si>
  <si>
    <t>Thông tin trên website của tỉnh về các văn bản điều hành, chỉ đạo của lãnh đạo tỉnh là hữu ích (%)</t>
  </si>
  <si>
    <t>Thông tin trên các website của tỉnh về các văn bản pháp luật của tỉnh là hữu ích (%)</t>
  </si>
  <si>
    <t>Cần có "mối quan hệ" để có được các tài liệu của tỉnh (% Quan trọng hoặc Rất quan trọng)</t>
  </si>
  <si>
    <t>Tỷ lệ doanh nghiệp đồng ý với nhận đinhh "Thương lượng với cán bộ thuế là phần thiết yếu trong hoạt động kinh doanh" (%)</t>
  </si>
  <si>
    <t>Tỷ lệ doanh nghiệp cho biết thỏa thuận về các khoản thuế phải nộp với cán bộ thuế giúp doanh nghiệp giảm được số thuế phải nộp  (% )</t>
  </si>
  <si>
    <t>Vai trò của các hiệp hội DN địa phương trong việc xây dựng và phản biện chính sách, quy định của tỉnh là quan trọng (%)</t>
  </si>
  <si>
    <t xml:space="preserve">Khả năng dự liệu được việc thực thi của tỉnh với quy định pháp luật của Trung ương (% Có thể) </t>
  </si>
  <si>
    <t xml:space="preserve">Khả năng dự liệu được thay đổi quy định pháp luật của tỉnh (% Có thể) </t>
  </si>
  <si>
    <t>Chất lượng website của tỉnh - Điều chỉnh năm 2021</t>
  </si>
  <si>
    <t>Tỷ lệ DN thường xuyên truy cập vào website của UBND tỉnh  (%)</t>
  </si>
  <si>
    <t>Tỷ lệ DN dành hơn 10% quỹ thời gian để tìm hiểu và thực hiện các quy định pháp luật của Nhà nước (%)</t>
  </si>
  <si>
    <t xml:space="preserve">Tỷ lệ doanh nghiệp đồng ý với nhận định cán bộ nhà nước thân thiện (%) </t>
  </si>
  <si>
    <t xml:space="preserve">Tỷ lệ doanh nghiệp đồng ý với nhận định cán bộ nhà nước giải quyết công việc hiệu quả (%)  </t>
  </si>
  <si>
    <t xml:space="preserve">Tỷ lệ doanh nghiệp  cho biết  không cần phải đi lại nhiều lần để lấy dấu và chữ ký (%)  </t>
  </si>
  <si>
    <t xml:space="preserve">Tỷ lệ doanh nghiệp cho biết thủ tục giấy tờ đơn giản (%)    </t>
  </si>
  <si>
    <t xml:space="preserve">Tỷ lệ doanh nghiệp cho biế phí, lệ phí được công khai (%)  </t>
  </si>
  <si>
    <t>Thời gian thực hiện TTHC được rút ngắn hơn so với quy định (%)</t>
  </si>
  <si>
    <t>Tỷ lệ DN không gặp khó khăn khi thực hiện TTHC trực tuyến (%)</t>
  </si>
  <si>
    <t>Tỷ lệ doanh nghiệp cho biết thực hiện TTHC trực tuyến giúp tiết giảm thời gian (%)</t>
  </si>
  <si>
    <t>Tỷ lệ doanh nghiệp cho biế thực hiện TTHC trực tuyến giúp tiết giảm chi phí  (%)</t>
  </si>
  <si>
    <t>Tỷ lệ DN cho biết nội dung làm việc của các đoàn thanh, kiểm tra bị trùng lặp  (%)</t>
  </si>
  <si>
    <t>Tỷ lệ DN cho biết bị thanh kiểm tra trên 3 lần một năm  (%)</t>
  </si>
  <si>
    <t>Tỷ lệ DN phản ánh cán bộ thanh, kiểm tra lợi dụng thực thi công vụ nhũng nhiễu doanh nghiệp (%)</t>
  </si>
  <si>
    <t>Số giờ thanh, kiểm tra thuế mỗi cuộc (trung vị)</t>
  </si>
  <si>
    <t>Tỷ lệ doanh nghiệp có chi trả  chi phí không chính thức (%)</t>
  </si>
  <si>
    <t>Tỷ lệ doanh nghiệp cho biết công việc đạt được kết quả mong đợi sau khi đã trả CPKCT (% thường xuyên hoặc luôn luôn)</t>
  </si>
  <si>
    <t>Tỷ lệ doanh nghiệp phản ánh hiện tượng nhũng nhiễu khi giải quyết thủ tục cho DN là phổ biến (%)</t>
  </si>
  <si>
    <t xml:space="preserve">Các khoản CPKCT ở mức chấp nhận được (% Đồng ý)  </t>
  </si>
  <si>
    <t>Tỷ lệ DN chi trả CPKCT cho cán bộ thanh, kiểm tra (%)</t>
  </si>
  <si>
    <t>Tỷ lệ DN trả CPKCT khi thực hiện thủ tục ĐKDN / sửa đổi ĐKDN (%)</t>
  </si>
  <si>
    <t>Tỷ lệ DN trả CPKCT khi thực hiện thủ tục đề nghị cấp giấy phép kinh doanh có điều kiện (%)</t>
  </si>
  <si>
    <t>Tỷ lệ DN trả CPKCT cho cán bộ thanh, kiểm tra tra an toàn phòng cháy (%)</t>
  </si>
  <si>
    <t>Tỷ lệ DN trả CPKCT cho cán bộ thanh, kiểm tra môi trường (%)</t>
  </si>
  <si>
    <t xml:space="preserve">Tỷ lệ DN trả CPKCT cho cán bộ quản lý thị trường (%) </t>
  </si>
  <si>
    <t xml:space="preserve">Tỷ lệ DN trả CPKCT cho cán bộ thanh, kiểm tra thuế (%)  </t>
  </si>
  <si>
    <t>Tỷ lệ DN trả CPKCT cho cán bộ thanh, kiểm tra xây dựng  (%)</t>
  </si>
  <si>
    <t xml:space="preserve"> DN phải chi hơn 10% doanh thu cho các loại CPKCT (%)</t>
  </si>
  <si>
    <t>Tỷ lệ DN chi trả CPKCT để đẩy nhanh việc thực hiện thủ tục đất đai (%)</t>
  </si>
  <si>
    <t>Chi trả " hoa hồng" là cần thiết để có cơ hội thắng thầu (% Đồng ý)</t>
  </si>
  <si>
    <t>Có tranh chấp song không lựa chọn Tòa án để giải quyết do lo ngại tình trạng "chạy án" là phổ biến (%)</t>
  </si>
  <si>
    <t>Tỷ lệ doanh nghiệp đồng ý với nhận định "Sự quan tâm của chính quyền tỉnh không phụ thuộc vào đóng góp của doanh nghiệp cho địa phương như số lao động sử dụng, số thuế phải nộp hoặc tài trợ/hỗ trợ khác" (%)</t>
  </si>
  <si>
    <t>Tỷ lệ doanh nghiệp đồng ý với nhận định "Tỉnh ưu tiên giải quyết các khó khăn cho các doanh nghiệp lớn so với DNNVV trong nước" (%)</t>
  </si>
  <si>
    <t>Tỷ lệ doanh nghiệp đồng ý với nhận định "Tỉnh ưu tiên thu hút đầu tư từ các doanh nghiệp lớn hơn là phát triển DNNVV tại địa phương"  (%)</t>
  </si>
  <si>
    <t>Tỷ lệ doanh nghiệp phản ánh "Thuận lợi trong việc tiếp cận đất đai là đặc quyền dành cho các doanh nghiệp lớn" (%)</t>
  </si>
  <si>
    <t>Tỷ lệ doanh nghiệp phản ánh "TTHC nhanh chóng hơn là đặc quyền dành cho các doanh nghiệp lớn" (%)</t>
  </si>
  <si>
    <t>Tỷ lệ doanh nghiệp phản ánh "Dễ dàng có được các hợp đồng từ CQNN là đặc quyền dành cho các doanh nghiệp lớn"  (%)</t>
  </si>
  <si>
    <t>Tỷ lệ doanh nghiệp phản ánh "Thuận lợi trong cấp phép khai thác khoáng sản là đặc quyền dành cho các doanh nghiệp lớn" (%)</t>
  </si>
  <si>
    <t>Tỷ lệ doanh nghiệp phản ánh "Thuận lợi trong tiếp cận thông tin là đặc quyền dành cho các doanh nghiệp" lớn (%)</t>
  </si>
  <si>
    <t>Tỷ lệ doanh nghiệp phản ánh "Miễn, giảm thuế TNDN là đặc quyền dành cho các doanh nghiệp lớn" (%)</t>
  </si>
  <si>
    <t>Tỷ lệ doanh nghiệp đồng ý với nhận định "Sự ưu đãi của tỉnh cho doanh nghiệp lớn (cả DNNN và DN tư nhân và DN FDI) gây khó khăn cho hoạt động kinh doanh của doanh nghiệp tôi" (%)</t>
  </si>
  <si>
    <t>Tỷ lệ doanh nghiệp đồng ý với nhận định "Hợp đồng, đất đai,… và các nguồn lực kinh tế khác chủ yếu rơi vào tay các DN có liên kết chặt chẽ với cán bộ chính quyền tỉnh” (%)</t>
  </si>
  <si>
    <t>Tỷ lệ doanh nghiệp quan sát thấy thái độ của chính quyền tỉnh đối với khu vực tư nhân là tích cực (%)</t>
  </si>
  <si>
    <t>Phản ứng của tỉnh khi có điểm chưa rõ trong chính sách/văn bản trung ương: “trì hoãn thực hiện và xin ý kiến chỉ đạo” và “không làm gì” (%)</t>
  </si>
  <si>
    <t>Tỷ lệ doanh nghiệp đánh giá "Các Sở ngành không thực hiện đúng chủ trương, chính sách của lãnh đạo tỉnh" (%)</t>
  </si>
  <si>
    <t xml:space="preserve">Tỷ lệ doanh nghiệp đồng ý với nhận định "UBND tỉnh linh hoạt trong khuôn khổ pháp luật nhằm tạo môi trường kinh doanh thuận lợi" (%) </t>
  </si>
  <si>
    <t xml:space="preserve">UBND tỉnh năng động và sáng tạo trong việc giải quyết các vấn đề mới phát sinh (% Đồng ý) </t>
  </si>
  <si>
    <t>Tỷ lệ doanh nghiệp đánh giá "Chính quyền cấp huyện, thị xã không thực hiện đúng chủ trương, chính sách của lãnh đạo tỉnh, thành phố" (%)</t>
  </si>
  <si>
    <t>Tỷ lệ doanh nghiệp đồng ý với nhận định "Các khó khăn, vướng mắc được tháo gỡ kịp thời qua các cuộc đối thoại, tiếp xúc doanh nghiệp tại tỉnh" (%)</t>
  </si>
  <si>
    <t>Tỷ lệ doanh nghiệp đồng ý với nhận định "Chủ trương, chính sách của tỉnh, thành phố đối với việc tạo thuận lợi cho doanh nghiệp hoạt động là ổn định và nhất quán" (%)</t>
  </si>
  <si>
    <t>Tỷ lệ DN tin tưởng rằng lãnh đạo địa phương đã hành động để thực hiện các cam kết cải thiện môi trường kinh doanh của mình (%)</t>
  </si>
  <si>
    <t>Thủ tục tiếp cận tín dụng cho DNNVV là dễ thực hiện  (%)</t>
  </si>
  <si>
    <t xml:space="preserve">Thủ tục tiếp cận hỗ trợ nâng cao năng lực quản trị doanh nghiệp là dễ thực hiện (%) </t>
  </si>
  <si>
    <t xml:space="preserve">Thủ tục tiếp cận mặt bằng tại các KCN/CCN là dễ thực hiện (%) </t>
  </si>
  <si>
    <t xml:space="preserve">Thủ tục tiếp cận dịch vụ tư vấn pháp luật là dễ thực hiện (%) </t>
  </si>
  <si>
    <t>Thủ tục tiếp cận dịch vụ tư vấn thông tin thị trường là dễ thực hiện  (%)</t>
  </si>
  <si>
    <t>Thủ tục tiếp cận các chương trình đào tạo, tập huấn về khởi sự kinh doanh và quản trị doanh nghiệp là dễ thực hiện  (%)</t>
  </si>
  <si>
    <t>Thủ tục tiếp cận các chương trình đào tạo nghề cho người lao động là dễ thực hiện  (%)</t>
  </si>
  <si>
    <t>Chất lượng cung cấp thông tin liên quan đến các FTA của các CQNN địa phương đáp ứng nhu cầu của doanh nghiệp (%)</t>
  </si>
  <si>
    <t xml:space="preserve">Vướng mắc trong thực hiện các văn bản thực thi các hiệp định thương mại tự do (FTA) được CQNN địa phương giải đáp hiệu quả (%) </t>
  </si>
  <si>
    <t>Tỷ lệ DN có biết đến các chương trình hỗ trợ doanh nghiệp tận dụng cơ hội của các FTAs (%)</t>
  </si>
  <si>
    <t>Tỷ lệ DN đánh giá việc thực hiện thủ tục để hưởng hỗ trợ từ chương trình hỗ trợ DN tận dụng cơ hội từ các FTAs là thuận lợi (%)</t>
  </si>
  <si>
    <t>Tỷ lệ nhà cung cấp dịch vụ trên tổng số doanh nghiệp (%)</t>
  </si>
  <si>
    <t>Tỷ lệ nhà cung cấp tư nhân và nước ngoài trên tổng số nhà cung cấp dịch vụ (%)</t>
  </si>
  <si>
    <t>Tỷ lệ DN đánh giá việc tuyển dụng lao động phổ thông tại tỉnh là dễ dàng (%)</t>
  </si>
  <si>
    <t>Tỷ lệ DN đánh giá việc tuyển dụng cán bộ kỹ thuật tại tỉnh là dễ dàng (%)</t>
  </si>
  <si>
    <t>Tỷ lệ DN đánh giá việc tuyển dụng cán bộ quản lý, giám sát tại tỉnh là dễ dàng (%)</t>
  </si>
  <si>
    <t>Tỷ lệ chi phí tuyển dụng lao động trong tổng chi phí kinh doanh (%)</t>
  </si>
  <si>
    <t>Tỷ lệ chi phí đào tạo lao động trong tổng chi phí kinh doanh (%)</t>
  </si>
  <si>
    <t>Giáo dục dạy nghề tại tỉnh có chất lượng tốt (% Đồng ý)</t>
  </si>
  <si>
    <t xml:space="preserve">Tỷ lệ lao động tại DN đã tốt nghiệp các cơ sở giáo dục nghề nghiệp (%) </t>
  </si>
  <si>
    <t>Tỷ lệ lao động từ 15 tuổi trở lên đang làm việc tại địa phương đã qua đào tạo (%, TCTK)</t>
  </si>
  <si>
    <t>Lao động tại địa phương đáp ứng hoàn toàn/phần lớn nhu cầu sử dụng của DN (%)</t>
  </si>
  <si>
    <t>Giáo dục phổ thông tại tỉnh có chất lượng tốt (% Đồng ý)</t>
  </si>
  <si>
    <t>Điểm thi trung bình kỳ thi tốt nghiệp THPT (BGDĐT)</t>
  </si>
  <si>
    <t>Hệ thống pháp luật có cơ chế giúp DN tố cáo hành vi sai phạm của CBNN (% Thường xuyên hoặc Luôn luôn)</t>
  </si>
  <si>
    <t>Tỷ lệ DN tin tưởng vào khả năng bảo vệ của pháp luật về vấn đề bản quyền hoặc thực thi hợp đồng (% Đồng ý)</t>
  </si>
  <si>
    <t xml:space="preserve">Tỷ lệ DN sẵn sàng sử dụng tòa án để giải quyết các tranh chấp (%)  </t>
  </si>
  <si>
    <t>Tỷ lệ DN tin rằng cấp trên không bao che và sẽ nghiêm túc xử lý kỷ luật cán bộ sai phạm (% Đồng ý)</t>
  </si>
  <si>
    <t>Tòa án các cấp của tỉnh xét xử các vụ kiện kinh tế đúng pháp luật (% Đồng ý)</t>
  </si>
  <si>
    <t>Tòa án các cấp của tỉnh xử các vụ kiện kinh tế nhanh chóng (% Đồng ý)</t>
  </si>
  <si>
    <t>Phán quyết của tòa án được thi hành nhanh chóng (% Đồng ý)</t>
  </si>
  <si>
    <t xml:space="preserve">Các cơ quan trợ giúp pháp lý hỗ trợ doanh nghiệp dùng luật để khởi kiện khi có tranh chấp (% Đồng ý)  </t>
  </si>
  <si>
    <t>Các chi phí chính thức từ khi khởi kiện đến khi bản án được thi hành ở mức chấp nhận được (% Đồng ý) - Biến mới năm 2021</t>
  </si>
  <si>
    <t>Các chi phí không chính thức từ khi khởi kiện đến khi bản án được thi hành ở mức chấp nhận được (% Đồng ý) - Biến mới năm 2021</t>
  </si>
  <si>
    <t>Phán quyết của toà án là công bằng (% Đồng ý)</t>
  </si>
  <si>
    <t>Số lượng vụ việc tranh chấp của các doanh nghiệp ngoài quốc doanh do Tòa án kinh tế cấp tỉnh thụ lý trên 100 doanh nghiệp (TANDTC)</t>
  </si>
  <si>
    <t>Tỷ lệ nguyên đơn ngoài quốc doanh trên tổng số nguyên đơn tại Toà án kinh tế tỉnh (%, TANDTC)</t>
  </si>
  <si>
    <t>Tỷ lệ các vụ án kinh tế đã được giải quyết (%, TANDTC)</t>
  </si>
  <si>
    <t xml:space="preserve"> Tình hình an ninh trật tự trên địa bàn tỉnh là tốt (%)</t>
  </si>
  <si>
    <t>Tỷ lệ DN bị trộm cắp hoặc đột nhập vào năm vừa qua (%)</t>
  </si>
  <si>
    <t>Cơ quan công an sở tại xử lý vụ việc của DN hiệu quả (%)</t>
  </si>
  <si>
    <t>Tỷ lệ DN phải trả tiền bảo kê cho các băng nhóm côn đồ, tổ chức xã hội đen để yên ổn làm ăn (%)</t>
  </si>
  <si>
    <t>CSTP 11: Tập trung dân cư</t>
  </si>
  <si>
    <t>Diện tích(Km2)(*)</t>
  </si>
  <si>
    <t>Dân số trung bình (Nghìn người)</t>
  </si>
  <si>
    <t>Mật độ dân số (Người/km2)</t>
  </si>
  <si>
    <t>Tỉnh</t>
  </si>
  <si>
    <t>CSTP12</t>
  </si>
  <si>
    <t xml:space="preserve">Số doanh nghiệp đăng ký thành lập mới </t>
  </si>
  <si>
    <t xml:space="preserve">Số doanh nghiệp đang hoạt động </t>
  </si>
  <si>
    <t xml:space="preserve">Số doanh nghiệp đang hoạt động bình quân trên 1000 dân </t>
  </si>
  <si>
    <t xml:space="preserve">Số doanh nghiệp đang hoạt động có kết quả sản xuất kinh doanh </t>
  </si>
  <si>
    <t xml:space="preserve">Tổng số lao động trong các doanh nghiệp đang hoạt động có kết quả sản xuất kinh doanh </t>
  </si>
  <si>
    <t xml:space="preserve">Doanh thu thuần sản xuất kinh doanh của các doanh nghiệp đang hoạt động có kết quả sản xuất kinh doanh </t>
  </si>
  <si>
    <t xml:space="preserve">Thu nhập bình quân một tháng của người lao động trong doanh nghiệp đang hoạt động có kết quả sản xuất kinh doanh </t>
  </si>
  <si>
    <t xml:space="preserve">Lợi nhuận trước thuế của doanh nghiệp đang hoạt động có kết quả sản xuất kinh doanh </t>
  </si>
  <si>
    <t xml:space="preserve">Tỷ suất lợi nhuận của doanh nghiệp đang hoạt động có kết quả sản xuất kinh doanh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</si>
</sst>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rgb="FF000000"/>
      <name val="Calibri"/>
      <scheme val="minor"/>
    </font>
    <font>
      <sz val="10"/>
      <color theme="1"/>
      <name val="Cambria"/>
    </font>
    <font>
      <sz val="10"/>
      <color rgb="FF000000"/>
      <name val="Cambria"/>
    </font>
    <font>
      <sz val="11"/>
      <color rgb="FF000000"/>
      <name val="Calibri"/>
    </font>
    <font>
      <sz val="11"/>
      <color theme="1"/>
      <name val="Calibri"/>
      <scheme val="minor"/>
    </font>
    <font>
      <sz val="10"/>
      <color rgb="FF000000"/>
      <name val="Calibri"/>
    </font>
  </fonts>
  <fills count="3">
    <fill>
      <patternFill patternType="none"/>
    </fill>
    <fill>
      <patternFill patternType="gray125"/>
    </fill>
    <fill>
      <patternFill patternType="solid">
        <fgColor rgb="FFBDD6EE"/>
        <bgColor rgb="FFBDD6EE"/>
      </patternFill>
    </fill>
  </fills>
  <borders count="12">
    <border>
      <left/>
      <right/>
      <top/>
      <bottom/>
      <diagonal/>
    </border>
    <border>
      <left/>
      <right/>
      <top style="thin">
        <color rgb="FF000000"/>
      </top>
      <bottom style="thin">
        <color rgb="FF000000"/>
      </bottom>
      <diagonal/>
    </border>
    <border>
      <left/>
      <right/>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right style="thin">
        <color rgb="FF000000"/>
      </right>
      <top/>
      <bottom style="double">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1">
    <xf numFmtId="0" fontId="0" fillId="0" borderId="0" xfId="0"/>
    <xf numFmtId="0" fontId="1" fillId="2" borderId="1" xfId="0" applyFont="1" applyFill="1" applyBorder="1" applyAlignment="1">
      <alignment horizontal="center" vertical="center" wrapText="1"/>
    </xf>
    <xf numFmtId="0" fontId="1" fillId="0" borderId="0" xfId="0" applyFont="1"/>
    <xf numFmtId="2" fontId="1" fillId="0" borderId="0" xfId="0" applyNumberFormat="1" applyFont="1" applyAlignment="1">
      <alignment horizontal="center"/>
    </xf>
    <xf numFmtId="2" fontId="2" fillId="0" borderId="0" xfId="0" applyNumberFormat="1" applyFont="1" applyAlignment="1">
      <alignment horizontal="center" vertical="center"/>
    </xf>
    <xf numFmtId="0" fontId="1" fillId="0" borderId="2" xfId="0" applyFont="1" applyBorder="1"/>
    <xf numFmtId="2" fontId="1" fillId="0" borderId="2" xfId="0" applyNumberFormat="1" applyFont="1" applyBorder="1" applyAlignment="1">
      <alignment horizontal="center"/>
    </xf>
    <xf numFmtId="0" fontId="1" fillId="2" borderId="1" xfId="0" applyFont="1" applyFill="1" applyBorder="1" applyAlignment="1">
      <alignment vertical="center" wrapText="1"/>
    </xf>
    <xf numFmtId="0" fontId="1" fillId="2" borderId="3" xfId="0" applyFont="1" applyFill="1" applyBorder="1" applyAlignment="1">
      <alignment vertical="center" wrapText="1"/>
    </xf>
    <xf numFmtId="2" fontId="1" fillId="0" borderId="4" xfId="0" applyNumberFormat="1" applyFont="1" applyBorder="1" applyAlignment="1">
      <alignment horizontal="center"/>
    </xf>
    <xf numFmtId="0" fontId="1" fillId="0" borderId="0" xfId="0" applyFont="1" applyAlignment="1">
      <alignment horizontal="center"/>
    </xf>
    <xf numFmtId="9" fontId="1" fillId="0" borderId="0" xfId="0" applyNumberFormat="1" applyFont="1" applyAlignment="1">
      <alignment horizontal="center"/>
    </xf>
    <xf numFmtId="2" fontId="1" fillId="0" borderId="5" xfId="0" applyNumberFormat="1" applyFont="1" applyBorder="1" applyAlignment="1">
      <alignment horizontal="center"/>
    </xf>
    <xf numFmtId="0" fontId="1" fillId="0" borderId="2" xfId="0" applyFont="1" applyBorder="1" applyAlignment="1">
      <alignment horizontal="center"/>
    </xf>
    <xf numFmtId="9" fontId="1" fillId="0" borderId="2" xfId="0" applyNumberFormat="1" applyFont="1" applyBorder="1" applyAlignment="1">
      <alignment horizontal="center"/>
    </xf>
    <xf numFmtId="0" fontId="1" fillId="2" borderId="6" xfId="0" applyFont="1" applyFill="1" applyBorder="1"/>
    <xf numFmtId="2" fontId="1" fillId="2" borderId="6" xfId="0" applyNumberFormat="1" applyFont="1" applyFill="1" applyBorder="1" applyAlignment="1">
      <alignment horizontal="center" vertical="center"/>
    </xf>
    <xf numFmtId="9" fontId="1" fillId="2" borderId="6" xfId="0" applyNumberFormat="1" applyFont="1" applyFill="1" applyBorder="1" applyAlignment="1">
      <alignment horizontal="center" vertical="center"/>
    </xf>
    <xf numFmtId="1" fontId="1" fillId="2" borderId="6" xfId="0" applyNumberFormat="1" applyFont="1" applyFill="1" applyBorder="1" applyAlignment="1">
      <alignment horizontal="center" vertical="center"/>
    </xf>
    <xf numFmtId="2" fontId="1" fillId="0" borderId="0" xfId="0" applyNumberFormat="1" applyFont="1" applyAlignment="1">
      <alignment horizontal="center" vertical="center"/>
    </xf>
    <xf numFmtId="0" fontId="1" fillId="0" borderId="0" xfId="0" applyFont="1" applyAlignment="1">
      <alignment horizontal="center" vertical="center"/>
    </xf>
    <xf numFmtId="9" fontId="1" fillId="0" borderId="0" xfId="0" applyNumberFormat="1" applyFont="1" applyAlignment="1">
      <alignment horizontal="center" vertical="center"/>
    </xf>
    <xf numFmtId="1" fontId="1" fillId="0" borderId="0" xfId="0" applyNumberFormat="1" applyFont="1" applyAlignment="1">
      <alignment horizontal="center" vertical="center"/>
    </xf>
    <xf numFmtId="0" fontId="1" fillId="2" borderId="1" xfId="0" applyFont="1" applyFill="1" applyBorder="1" applyAlignment="1">
      <alignment vertical="top" wrapText="1"/>
    </xf>
    <xf numFmtId="0" fontId="1" fillId="2" borderId="3" xfId="0" applyFont="1" applyFill="1" applyBorder="1" applyAlignment="1">
      <alignment vertical="top" wrapText="1"/>
    </xf>
    <xf numFmtId="0" fontId="1" fillId="2" borderId="3" xfId="0" applyFont="1" applyFill="1" applyBorder="1" applyAlignment="1">
      <alignment horizontal="center" vertical="center" wrapText="1"/>
    </xf>
    <xf numFmtId="2" fontId="1" fillId="0" borderId="4" xfId="0" applyNumberFormat="1" applyFont="1" applyBorder="1" applyAlignment="1">
      <alignment horizontal="center" vertical="center"/>
    </xf>
    <xf numFmtId="2" fontId="1" fillId="0" borderId="5" xfId="0" applyNumberFormat="1" applyFont="1" applyBorder="1" applyAlignment="1">
      <alignment horizontal="center" vertical="center"/>
    </xf>
    <xf numFmtId="2" fontId="1" fillId="0" borderId="2" xfId="0" applyNumberFormat="1" applyFont="1" applyBorder="1" applyAlignment="1">
      <alignment horizontal="center" vertical="center"/>
    </xf>
    <xf numFmtId="9" fontId="1" fillId="0" borderId="2" xfId="0" applyNumberFormat="1" applyFont="1" applyBorder="1" applyAlignment="1">
      <alignment horizontal="center" vertical="center"/>
    </xf>
    <xf numFmtId="1" fontId="1" fillId="0" borderId="2" xfId="0" applyNumberFormat="1" applyFont="1" applyBorder="1" applyAlignment="1">
      <alignment horizontal="center" vertical="center"/>
    </xf>
    <xf numFmtId="9" fontId="1" fillId="0" borderId="0" xfId="0" applyNumberFormat="1" applyFont="1"/>
    <xf numFmtId="1" fontId="1" fillId="0" borderId="0" xfId="0" applyNumberFormat="1" applyFont="1"/>
    <xf numFmtId="0" fontId="1" fillId="2" borderId="1" xfId="0" applyFont="1" applyFill="1" applyBorder="1" applyAlignment="1">
      <alignment horizontal="left" vertical="center" wrapText="1"/>
    </xf>
    <xf numFmtId="10" fontId="1" fillId="0" borderId="0" xfId="0" applyNumberFormat="1" applyFont="1" applyAlignment="1">
      <alignment horizontal="center" vertical="center"/>
    </xf>
    <xf numFmtId="0" fontId="1" fillId="2" borderId="7" xfId="0" applyFont="1" applyFill="1" applyBorder="1" applyAlignment="1">
      <alignment vertical="top" wrapText="1"/>
    </xf>
    <xf numFmtId="0" fontId="1" fillId="2" borderId="8" xfId="0" applyFont="1" applyFill="1" applyBorder="1" applyAlignment="1">
      <alignment vertical="top" wrapText="1"/>
    </xf>
    <xf numFmtId="0" fontId="1" fillId="2" borderId="9" xfId="0" applyFont="1" applyFill="1" applyBorder="1" applyAlignment="1">
      <alignment vertical="top" wrapText="1"/>
    </xf>
    <xf numFmtId="0" fontId="1" fillId="2" borderId="10" xfId="0" applyFont="1" applyFill="1" applyBorder="1" applyAlignment="1">
      <alignment vertical="top" wrapText="1"/>
    </xf>
    <xf numFmtId="0" fontId="1" fillId="2" borderId="6" xfId="0" applyFont="1" applyFill="1" applyBorder="1" applyAlignment="1">
      <alignment horizontal="center" vertical="center" wrapText="1"/>
    </xf>
    <xf numFmtId="10" fontId="1" fillId="0" borderId="2" xfId="0" applyNumberFormat="1" applyFont="1" applyBorder="1" applyAlignment="1">
      <alignment horizontal="center" vertical="center"/>
    </xf>
    <xf numFmtId="10" fontId="1" fillId="2" borderId="6" xfId="0" applyNumberFormat="1" applyFont="1" applyFill="1" applyBorder="1" applyAlignment="1">
      <alignment horizontal="center" vertical="center"/>
    </xf>
    <xf numFmtId="2" fontId="3" fillId="0" borderId="0" xfId="0" applyNumberFormat="1" applyFont="1" applyAlignment="1">
      <alignment horizontal="center"/>
    </xf>
    <xf numFmtId="0" fontId="3" fillId="0" borderId="0" xfId="0" applyFont="1" applyAlignment="1">
      <alignment horizontal="center"/>
    </xf>
    <xf numFmtId="0" fontId="4" fillId="0" borderId="0" xfId="0" applyFont="1" applyAlignment="1">
      <alignment horizontal="center"/>
    </xf>
    <xf numFmtId="0" fontId="1" fillId="0" borderId="11" xfId="0" applyFont="1" applyBorder="1" applyAlignment="1">
      <alignment horizontal="center" vertical="center"/>
    </xf>
    <xf numFmtId="0" fontId="2" fillId="0" borderId="0" xfId="0" applyFont="1" applyAlignment="1">
      <alignment horizontal="center" vertical="center" wrapText="1"/>
    </xf>
    <xf numFmtId="0" fontId="5" fillId="0" borderId="0" xfId="0" applyFont="1"/>
    <xf numFmtId="0" fontId="2" fillId="0" borderId="0" xfId="0" applyFont="1" applyAlignment="1">
      <alignment horizontal="center" vertical="center"/>
    </xf>
    <xf numFmtId="3" fontId="2" fillId="0" borderId="0" xfId="0" applyNumberFormat="1" applyFont="1" applyAlignment="1">
      <alignment horizontal="center" vertical="center"/>
    </xf>
    <xf numFmtId="4" fontId="2"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995"/>
  <sheetViews>
    <sheetView tabSelected="1" workbookViewId="0">
      <pane xSplit="1" ySplit="1" topLeftCell="B2" activePane="bottomRight" state="frozen"/>
      <selection pane="topRight" activeCell="B1" sqref="B1"/>
      <selection pane="bottomLeft" activeCell="A2" sqref="A2"/>
      <selection pane="bottomRight" activeCell="B1" sqref="B1:B1048576"/>
    </sheetView>
  </sheetViews>
  <sheetFormatPr defaultColWidth="14.42578125" defaultRowHeight="15" customHeight="1" x14ac:dyDescent="0.25"/>
  <cols>
    <col min="1" max="1" width="21.85546875" customWidth="1"/>
    <col min="2" max="2" width="14.140625" customWidth="1"/>
    <col min="3" max="5" width="12.42578125" customWidth="1"/>
    <col min="6" max="6" width="15.42578125" customWidth="1"/>
    <col min="7" max="7" width="15" customWidth="1"/>
    <col min="8" max="8" width="21.85546875" customWidth="1"/>
    <col min="9" max="9" width="18.85546875" customWidth="1"/>
    <col min="10" max="10" width="12.42578125" customWidth="1"/>
    <col min="11" max="11" width="21" customWidth="1"/>
    <col min="12" max="13" width="15" customWidth="1"/>
    <col min="14" max="14" width="31.42578125" customWidth="1"/>
    <col min="15" max="27" width="8.7109375" customWidth="1"/>
  </cols>
  <sheetData>
    <row r="1" spans="1:27" ht="12.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2"/>
      <c r="P1" s="2"/>
      <c r="Q1" s="2"/>
      <c r="R1" s="2"/>
      <c r="S1" s="2"/>
      <c r="T1" s="2"/>
      <c r="U1" s="2"/>
      <c r="V1" s="2"/>
      <c r="W1" s="2"/>
      <c r="X1" s="2"/>
      <c r="Y1" s="2"/>
      <c r="Z1" s="2"/>
      <c r="AA1" s="2"/>
    </row>
    <row r="2" spans="1:27" ht="12.75" customHeight="1" x14ac:dyDescent="0.25">
      <c r="A2" s="2" t="s">
        <v>14</v>
      </c>
      <c r="B2" s="3">
        <v>8.3269243240356445</v>
      </c>
      <c r="C2" s="3">
        <v>6.3665933609008789</v>
      </c>
      <c r="D2" s="3">
        <v>6.325009822845459</v>
      </c>
      <c r="E2" s="3">
        <v>7.0928926467895508</v>
      </c>
      <c r="F2" s="3">
        <v>6.904393196105957</v>
      </c>
      <c r="G2" s="3">
        <v>5.4384164810180664</v>
      </c>
      <c r="H2" s="3">
        <v>5.655245304107666</v>
      </c>
      <c r="I2" s="3">
        <v>7.0004277229309082</v>
      </c>
      <c r="J2" s="3">
        <v>5.7536935806274414</v>
      </c>
      <c r="K2" s="3">
        <v>6.3097176551818848</v>
      </c>
      <c r="L2" s="3">
        <v>1.510491054791</v>
      </c>
      <c r="M2" s="4">
        <v>1.058433924</v>
      </c>
      <c r="N2" s="2" t="s">
        <v>15</v>
      </c>
      <c r="O2" s="2"/>
      <c r="P2" s="2"/>
      <c r="Q2" s="2"/>
      <c r="R2" s="2"/>
      <c r="S2" s="2"/>
      <c r="T2" s="2"/>
      <c r="U2" s="2"/>
      <c r="V2" s="2"/>
      <c r="W2" s="2"/>
      <c r="X2" s="2"/>
      <c r="Y2" s="2"/>
      <c r="Z2" s="2"/>
      <c r="AA2" s="2"/>
    </row>
    <row r="3" spans="1:27" ht="12.75" customHeight="1" x14ac:dyDescent="0.25">
      <c r="A3" s="2" t="s">
        <v>16</v>
      </c>
      <c r="B3" s="3">
        <v>5.5521774291992188</v>
      </c>
      <c r="C3" s="3">
        <v>5.9747729301452637</v>
      </c>
      <c r="D3" s="3">
        <v>5.6377048492431641</v>
      </c>
      <c r="E3" s="3">
        <v>7.8178462982177734</v>
      </c>
      <c r="F3" s="3">
        <v>6.0780320167541504</v>
      </c>
      <c r="G3" s="3">
        <v>6.4959745407104492</v>
      </c>
      <c r="H3" s="3">
        <v>5.9552984237670898</v>
      </c>
      <c r="I3" s="3">
        <v>5.8158879280090332</v>
      </c>
      <c r="J3" s="3">
        <v>4.8027677536010742</v>
      </c>
      <c r="K3" s="3">
        <v>7.7159223556518555</v>
      </c>
      <c r="L3" s="3">
        <v>0.96578626350399999</v>
      </c>
      <c r="M3" s="4">
        <v>0.81410773199999997</v>
      </c>
      <c r="N3" s="2" t="s">
        <v>15</v>
      </c>
      <c r="O3" s="2"/>
      <c r="P3" s="2"/>
      <c r="Q3" s="2"/>
      <c r="R3" s="2"/>
      <c r="S3" s="2"/>
      <c r="T3" s="2"/>
      <c r="U3" s="2"/>
      <c r="V3" s="2"/>
      <c r="W3" s="2"/>
      <c r="X3" s="2"/>
      <c r="Y3" s="2"/>
      <c r="Z3" s="2"/>
      <c r="AA3" s="2"/>
    </row>
    <row r="4" spans="1:27" ht="12.75" customHeight="1" x14ac:dyDescent="0.25">
      <c r="A4" s="2" t="s">
        <v>17</v>
      </c>
      <c r="B4" s="3">
        <v>8.0794858932495117</v>
      </c>
      <c r="C4" s="3">
        <v>6.9865999221801758</v>
      </c>
      <c r="D4" s="3">
        <v>6.6742429733276367</v>
      </c>
      <c r="E4" s="3">
        <v>7.2530646324157715</v>
      </c>
      <c r="F4" s="3">
        <v>7.2609481811523438</v>
      </c>
      <c r="G4" s="3">
        <v>6.4568181037902832</v>
      </c>
      <c r="H4" s="3">
        <v>6.5366082191467285</v>
      </c>
      <c r="I4" s="3">
        <v>7.3016176223754883</v>
      </c>
      <c r="J4" s="3">
        <v>7.2307357788085938</v>
      </c>
      <c r="K4" s="3">
        <v>7.9154953956604004</v>
      </c>
      <c r="L4" s="3">
        <v>1.5775897128680001</v>
      </c>
      <c r="M4" s="4">
        <v>1.866743622</v>
      </c>
      <c r="N4" s="2" t="s">
        <v>18</v>
      </c>
      <c r="O4" s="2"/>
      <c r="P4" s="2"/>
      <c r="Q4" s="2"/>
      <c r="R4" s="2"/>
      <c r="S4" s="2"/>
      <c r="T4" s="2"/>
      <c r="U4" s="2"/>
      <c r="V4" s="2"/>
      <c r="W4" s="2"/>
      <c r="X4" s="2"/>
      <c r="Y4" s="2"/>
      <c r="Z4" s="2"/>
      <c r="AA4" s="2"/>
    </row>
    <row r="5" spans="1:27" ht="12.75" customHeight="1" x14ac:dyDescent="0.25">
      <c r="A5" s="2" t="s">
        <v>19</v>
      </c>
      <c r="B5" s="3">
        <v>7.8886518478393555</v>
      </c>
      <c r="C5" s="3">
        <v>5.9985799789428711</v>
      </c>
      <c r="D5" s="3">
        <v>6.818690299987793</v>
      </c>
      <c r="E5" s="3">
        <v>7.3226151466369629</v>
      </c>
      <c r="F5" s="3">
        <v>5.9044303894042969</v>
      </c>
      <c r="G5" s="3">
        <v>5.0372085571289063</v>
      </c>
      <c r="H5" s="3">
        <v>6.2753195762634277</v>
      </c>
      <c r="I5" s="3">
        <v>6.4723629951477051</v>
      </c>
      <c r="J5" s="3">
        <v>6.4693527221679688</v>
      </c>
      <c r="K5" s="3">
        <v>7.6647939682006836</v>
      </c>
      <c r="L5" s="3">
        <v>0.86758326653600004</v>
      </c>
      <c r="M5" s="4">
        <v>0.69446341099999997</v>
      </c>
      <c r="N5" s="2" t="s">
        <v>18</v>
      </c>
      <c r="O5" s="2"/>
      <c r="P5" s="2"/>
      <c r="Q5" s="2"/>
      <c r="R5" s="2"/>
      <c r="S5" s="2"/>
      <c r="T5" s="2"/>
      <c r="U5" s="2"/>
      <c r="V5" s="2"/>
      <c r="W5" s="2"/>
      <c r="X5" s="2"/>
      <c r="Y5" s="2"/>
      <c r="Z5" s="2"/>
      <c r="AA5" s="2"/>
    </row>
    <row r="6" spans="1:27" ht="12.75" customHeight="1" x14ac:dyDescent="0.25">
      <c r="A6" s="2" t="s">
        <v>20</v>
      </c>
      <c r="B6" s="3">
        <v>8.0715579986572266</v>
      </c>
      <c r="C6" s="3">
        <v>6.0817561149597168</v>
      </c>
      <c r="D6" s="3">
        <v>6.5320005416870117</v>
      </c>
      <c r="E6" s="3">
        <v>7.1405792236328125</v>
      </c>
      <c r="F6" s="3">
        <v>6.583831787109375</v>
      </c>
      <c r="G6" s="3">
        <v>5.3555879592895508</v>
      </c>
      <c r="H6" s="3">
        <v>6.1529397964477539</v>
      </c>
      <c r="I6" s="3">
        <v>7.4071464538574219</v>
      </c>
      <c r="J6" s="3">
        <v>7.0497126579284668</v>
      </c>
      <c r="K6" s="3">
        <v>7.5897245407104492</v>
      </c>
      <c r="L6" s="3">
        <v>0.82691187502499996</v>
      </c>
      <c r="M6" s="4">
        <v>2.7550351389999999</v>
      </c>
      <c r="N6" s="2" t="s">
        <v>21</v>
      </c>
      <c r="O6" s="2"/>
      <c r="P6" s="2"/>
      <c r="Q6" s="2"/>
      <c r="R6" s="2"/>
      <c r="S6" s="2"/>
      <c r="T6" s="2"/>
      <c r="U6" s="2"/>
      <c r="V6" s="2"/>
      <c r="W6" s="2"/>
      <c r="X6" s="2"/>
      <c r="Y6" s="2"/>
      <c r="Z6" s="2"/>
      <c r="AA6" s="2"/>
    </row>
    <row r="7" spans="1:27" ht="12.75" customHeight="1" x14ac:dyDescent="0.25">
      <c r="A7" s="2" t="s">
        <v>22</v>
      </c>
      <c r="B7" s="3">
        <v>7.8261113166809082</v>
      </c>
      <c r="C7" s="3">
        <v>7.8577704429626465</v>
      </c>
      <c r="D7" s="3">
        <v>5.9883975982666016</v>
      </c>
      <c r="E7" s="3">
        <v>7.6113643646240234</v>
      </c>
      <c r="F7" s="3">
        <v>6.987980842590332</v>
      </c>
      <c r="G7" s="3">
        <v>5.5721020698547363</v>
      </c>
      <c r="H7" s="3">
        <v>6.5348114967346191</v>
      </c>
      <c r="I7" s="3">
        <v>7.9422311782836914</v>
      </c>
      <c r="J7" s="3">
        <v>5.2630805969238281</v>
      </c>
      <c r="K7" s="3">
        <v>8.214594841003418</v>
      </c>
      <c r="L7" s="3">
        <v>1.7924403164</v>
      </c>
      <c r="M7" s="4">
        <v>1.1519606680000001</v>
      </c>
      <c r="N7" s="2" t="s">
        <v>15</v>
      </c>
      <c r="O7" s="2"/>
      <c r="P7" s="2"/>
      <c r="Q7" s="2"/>
      <c r="R7" s="2"/>
      <c r="S7" s="2"/>
      <c r="T7" s="2"/>
      <c r="U7" s="2"/>
      <c r="V7" s="2"/>
      <c r="W7" s="2"/>
      <c r="X7" s="2"/>
      <c r="Y7" s="2"/>
      <c r="Z7" s="2"/>
      <c r="AA7" s="2"/>
    </row>
    <row r="8" spans="1:27" ht="12.75" customHeight="1" x14ac:dyDescent="0.25">
      <c r="A8" s="2" t="s">
        <v>23</v>
      </c>
      <c r="B8" s="3">
        <v>7.1647200584411621</v>
      </c>
      <c r="C8" s="3">
        <v>6.9163756370544434</v>
      </c>
      <c r="D8" s="3">
        <v>6.6506748199462891</v>
      </c>
      <c r="E8" s="3">
        <v>6.7610359191894531</v>
      </c>
      <c r="F8" s="3">
        <v>6.5323867797851563</v>
      </c>
      <c r="G8" s="3">
        <v>5.5986671447753906</v>
      </c>
      <c r="H8" s="3">
        <v>6.4275112152099609</v>
      </c>
      <c r="I8" s="3">
        <v>7.8180828094482422</v>
      </c>
      <c r="J8" s="3">
        <v>5.5738444328308105</v>
      </c>
      <c r="K8" s="3">
        <v>7.7849674224853516</v>
      </c>
      <c r="L8" s="3">
        <v>1.0509215160980001</v>
      </c>
      <c r="M8" s="4">
        <v>3.3854843109999999</v>
      </c>
      <c r="N8" s="2" t="s">
        <v>24</v>
      </c>
      <c r="O8" s="2"/>
      <c r="P8" s="2"/>
      <c r="Q8" s="2"/>
      <c r="R8" s="2"/>
      <c r="S8" s="2"/>
      <c r="T8" s="2"/>
      <c r="U8" s="2"/>
      <c r="V8" s="2"/>
      <c r="W8" s="2"/>
      <c r="X8" s="2"/>
      <c r="Y8" s="2"/>
      <c r="Z8" s="2"/>
      <c r="AA8" s="2"/>
    </row>
    <row r="9" spans="1:27" ht="12.75" customHeight="1" x14ac:dyDescent="0.25">
      <c r="A9" s="2" t="s">
        <v>25</v>
      </c>
      <c r="B9" s="3">
        <v>7.9893455505371094</v>
      </c>
      <c r="C9" s="3">
        <v>6.4447855949401855</v>
      </c>
      <c r="D9" s="3">
        <v>7.0806899070739746</v>
      </c>
      <c r="E9" s="3">
        <v>7.8634424209594727</v>
      </c>
      <c r="F9" s="3">
        <v>6.7107477188110352</v>
      </c>
      <c r="G9" s="3">
        <v>5.4952139854431152</v>
      </c>
      <c r="H9" s="3">
        <v>6.7360243797302246</v>
      </c>
      <c r="I9" s="3">
        <v>6.9385604858398438</v>
      </c>
      <c r="J9" s="3">
        <v>6.6606903076171875</v>
      </c>
      <c r="K9" s="3">
        <v>7.4563865661621094</v>
      </c>
      <c r="L9" s="3">
        <v>1.6910488806549999</v>
      </c>
      <c r="M9" s="4">
        <v>0.60195130500000005</v>
      </c>
      <c r="N9" s="2" t="s">
        <v>26</v>
      </c>
      <c r="O9" s="2"/>
      <c r="P9" s="2"/>
      <c r="Q9" s="2"/>
      <c r="R9" s="2"/>
      <c r="S9" s="2"/>
      <c r="T9" s="2"/>
      <c r="U9" s="2"/>
      <c r="V9" s="2"/>
      <c r="W9" s="2"/>
      <c r="X9" s="2"/>
      <c r="Y9" s="2"/>
      <c r="Z9" s="2"/>
      <c r="AA9" s="2"/>
    </row>
    <row r="10" spans="1:27" ht="12.75" customHeight="1" x14ac:dyDescent="0.25">
      <c r="A10" s="2" t="s">
        <v>27</v>
      </c>
      <c r="B10" s="3">
        <v>7.9905905723571777</v>
      </c>
      <c r="C10" s="3">
        <v>6.3115978240966797</v>
      </c>
      <c r="D10" s="3">
        <v>7.393796443939209</v>
      </c>
      <c r="E10" s="3">
        <v>7.7225513458251953</v>
      </c>
      <c r="F10" s="3">
        <v>6.5995206832885742</v>
      </c>
      <c r="G10" s="3">
        <v>3.7991547584533691</v>
      </c>
      <c r="H10" s="3">
        <v>6.0105419158935547</v>
      </c>
      <c r="I10" s="3">
        <v>6.9816708564758301</v>
      </c>
      <c r="J10" s="3">
        <v>6.7210969924926758</v>
      </c>
      <c r="K10" s="3">
        <v>7.4204583168029785</v>
      </c>
      <c r="L10" s="3">
        <v>2.0663480599040001</v>
      </c>
      <c r="M10" s="4">
        <v>1.4154386999999999</v>
      </c>
      <c r="N10" s="2" t="s">
        <v>24</v>
      </c>
      <c r="O10" s="2"/>
      <c r="P10" s="2"/>
      <c r="Q10" s="2"/>
      <c r="R10" s="2"/>
      <c r="S10" s="2"/>
      <c r="T10" s="2"/>
      <c r="U10" s="2"/>
      <c r="V10" s="2"/>
      <c r="W10" s="2"/>
      <c r="X10" s="2"/>
      <c r="Y10" s="2"/>
      <c r="Z10" s="2"/>
      <c r="AA10" s="2"/>
    </row>
    <row r="11" spans="1:27" ht="12.75" customHeight="1" x14ac:dyDescent="0.25">
      <c r="A11" s="2" t="s">
        <v>28</v>
      </c>
      <c r="B11" s="3">
        <v>8.7792139053344727</v>
      </c>
      <c r="C11" s="3">
        <v>6.7058224678039551</v>
      </c>
      <c r="D11" s="3">
        <v>6.9088330268859863</v>
      </c>
      <c r="E11" s="3">
        <v>8.2040996551513672</v>
      </c>
      <c r="F11" s="3">
        <v>7.260162353515625</v>
      </c>
      <c r="G11" s="3">
        <v>5.8451757431030273</v>
      </c>
      <c r="H11" s="3">
        <v>6.7060418128967285</v>
      </c>
      <c r="I11" s="3">
        <v>6.9365725517272949</v>
      </c>
      <c r="J11" s="3">
        <v>6.0126194953918457</v>
      </c>
      <c r="K11" s="3">
        <v>7.0519757270812988</v>
      </c>
      <c r="L11" s="3">
        <v>1.626828694052</v>
      </c>
      <c r="M11" s="4">
        <v>1.349134109</v>
      </c>
      <c r="N11" s="2" t="s">
        <v>26</v>
      </c>
      <c r="O11" s="2"/>
      <c r="P11" s="2"/>
      <c r="Q11" s="2"/>
      <c r="R11" s="2"/>
      <c r="S11" s="2"/>
      <c r="T11" s="2"/>
      <c r="U11" s="2"/>
      <c r="V11" s="2"/>
      <c r="W11" s="2"/>
      <c r="X11" s="2"/>
      <c r="Y11" s="2"/>
      <c r="Z11" s="2"/>
      <c r="AA11" s="2"/>
    </row>
    <row r="12" spans="1:27" ht="12.75" customHeight="1" x14ac:dyDescent="0.25">
      <c r="A12" s="2" t="s">
        <v>29</v>
      </c>
      <c r="B12" s="3">
        <v>8.4894428253173828</v>
      </c>
      <c r="C12" s="3">
        <v>6.5317568778991699</v>
      </c>
      <c r="D12" s="3">
        <v>6.3520007133483887</v>
      </c>
      <c r="E12" s="3">
        <v>8.1959047317504883</v>
      </c>
      <c r="F12" s="3">
        <v>7.1942787170410156</v>
      </c>
      <c r="G12" s="3">
        <v>6.1262931823730469</v>
      </c>
      <c r="H12" s="3">
        <v>5.6548914909362793</v>
      </c>
      <c r="I12" s="3">
        <v>8.0534887313842773</v>
      </c>
      <c r="J12" s="3">
        <v>7.3853421211242676</v>
      </c>
      <c r="K12" s="3">
        <v>8.2521228790283203</v>
      </c>
      <c r="L12" s="3">
        <v>1.9317089172769999</v>
      </c>
      <c r="M12" s="4">
        <v>2.4914065729999999</v>
      </c>
      <c r="N12" s="2" t="s">
        <v>24</v>
      </c>
      <c r="O12" s="2"/>
      <c r="P12" s="2"/>
      <c r="Q12" s="2"/>
      <c r="R12" s="2"/>
      <c r="S12" s="2"/>
      <c r="T12" s="2"/>
      <c r="U12" s="2"/>
      <c r="V12" s="2"/>
      <c r="W12" s="2"/>
      <c r="X12" s="2"/>
      <c r="Y12" s="2"/>
      <c r="Z12" s="2"/>
      <c r="AA12" s="2"/>
    </row>
    <row r="13" spans="1:27" ht="12.75" customHeight="1" x14ac:dyDescent="0.25">
      <c r="A13" s="2" t="s">
        <v>30</v>
      </c>
      <c r="B13" s="3">
        <v>8.6133852005004883</v>
      </c>
      <c r="C13" s="3">
        <v>6.8874082565307617</v>
      </c>
      <c r="D13" s="3">
        <v>6.7891025543212891</v>
      </c>
      <c r="E13" s="3">
        <v>7.4083776473999023</v>
      </c>
      <c r="F13" s="3">
        <v>6.9269914627075195</v>
      </c>
      <c r="G13" s="3">
        <v>5.7101984024047852</v>
      </c>
      <c r="H13" s="3">
        <v>6.6606836318969727</v>
      </c>
      <c r="I13" s="3">
        <v>7.0950775146484375</v>
      </c>
      <c r="J13" s="3">
        <v>5.631493091583252</v>
      </c>
      <c r="K13" s="3">
        <v>7.3228521347045898</v>
      </c>
      <c r="L13" s="3">
        <v>1.39646511709</v>
      </c>
      <c r="M13" s="4">
        <v>1.3847428420000001</v>
      </c>
      <c r="N13" s="2" t="s">
        <v>15</v>
      </c>
      <c r="O13" s="2"/>
      <c r="P13" s="2"/>
      <c r="Q13" s="2"/>
      <c r="R13" s="2"/>
      <c r="S13" s="2"/>
      <c r="T13" s="2"/>
      <c r="U13" s="2"/>
      <c r="V13" s="2"/>
      <c r="W13" s="2"/>
      <c r="X13" s="2"/>
      <c r="Y13" s="2"/>
      <c r="Z13" s="2"/>
      <c r="AA13" s="2"/>
    </row>
    <row r="14" spans="1:27" ht="12.75" customHeight="1" x14ac:dyDescent="0.25">
      <c r="A14" s="2" t="s">
        <v>31</v>
      </c>
      <c r="B14" s="3">
        <v>8.1747722625732422</v>
      </c>
      <c r="C14" s="3">
        <v>5.8808012008666992</v>
      </c>
      <c r="D14" s="3">
        <v>6.4986705780029297</v>
      </c>
      <c r="E14" s="3">
        <v>6.8769288063049316</v>
      </c>
      <c r="F14" s="3">
        <v>6.5282926559448242</v>
      </c>
      <c r="G14" s="3">
        <v>5.2189846038818359</v>
      </c>
      <c r="H14" s="3">
        <v>5.9856634140014648</v>
      </c>
      <c r="I14" s="3">
        <v>6.1392574310302734</v>
      </c>
      <c r="J14" s="3">
        <v>5.6588101387023926</v>
      </c>
      <c r="K14" s="3">
        <v>6.8296713829040527</v>
      </c>
      <c r="L14" s="3">
        <v>1.085924508031</v>
      </c>
      <c r="M14" s="4">
        <v>0.79674363299999995</v>
      </c>
      <c r="N14" s="2" t="s">
        <v>18</v>
      </c>
      <c r="O14" s="2"/>
      <c r="P14" s="2"/>
      <c r="Q14" s="2"/>
      <c r="R14" s="2"/>
      <c r="S14" s="2"/>
      <c r="T14" s="2"/>
      <c r="U14" s="2"/>
      <c r="V14" s="2"/>
      <c r="W14" s="2"/>
      <c r="X14" s="2"/>
      <c r="Y14" s="2"/>
      <c r="Z14" s="2"/>
      <c r="AA14" s="2"/>
    </row>
    <row r="15" spans="1:27" ht="12.75" customHeight="1" x14ac:dyDescent="0.25">
      <c r="A15" s="2" t="s">
        <v>32</v>
      </c>
      <c r="B15" s="3">
        <v>6.9015140533447266</v>
      </c>
      <c r="C15" s="3">
        <v>6.886512279510498</v>
      </c>
      <c r="D15" s="3">
        <v>7.0474228858947754</v>
      </c>
      <c r="E15" s="3">
        <v>7.2347354888916016</v>
      </c>
      <c r="F15" s="3">
        <v>7.1973180770874023</v>
      </c>
      <c r="G15" s="3">
        <v>6.5427522659301758</v>
      </c>
      <c r="H15" s="3">
        <v>6.0443315505981445</v>
      </c>
      <c r="I15" s="3">
        <v>7.6724343299865723</v>
      </c>
      <c r="J15" s="3">
        <v>6.9491362571716309</v>
      </c>
      <c r="K15" s="3">
        <v>7.6697735786437988</v>
      </c>
      <c r="L15" s="3">
        <v>1.354977197875</v>
      </c>
      <c r="M15" s="4">
        <v>1.3849137819999999</v>
      </c>
      <c r="N15" s="2" t="s">
        <v>15</v>
      </c>
      <c r="O15" s="2"/>
      <c r="P15" s="2"/>
      <c r="Q15" s="2"/>
      <c r="R15" s="2"/>
      <c r="S15" s="2"/>
      <c r="T15" s="2"/>
      <c r="U15" s="2"/>
      <c r="V15" s="2"/>
      <c r="W15" s="2"/>
      <c r="X15" s="2"/>
      <c r="Y15" s="2"/>
      <c r="Z15" s="2"/>
      <c r="AA15" s="2"/>
    </row>
    <row r="16" spans="1:27" ht="12.75" customHeight="1" x14ac:dyDescent="0.25">
      <c r="A16" s="2" t="s">
        <v>33</v>
      </c>
      <c r="B16" s="3">
        <v>8.047943115234375</v>
      </c>
      <c r="C16" s="3">
        <v>6.466339111328125</v>
      </c>
      <c r="D16" s="3">
        <v>7.0017857551574707</v>
      </c>
      <c r="E16" s="3">
        <v>8.0680208206176758</v>
      </c>
      <c r="F16" s="3">
        <v>7.0995035171508789</v>
      </c>
      <c r="G16" s="3">
        <v>5.5717906951904297</v>
      </c>
      <c r="H16" s="3">
        <v>6.326934814453125</v>
      </c>
      <c r="I16" s="3">
        <v>7.660616397857666</v>
      </c>
      <c r="J16" s="3">
        <v>7.1011257171630859</v>
      </c>
      <c r="K16" s="3">
        <v>6.9124422073364258</v>
      </c>
      <c r="L16" s="3">
        <v>1.136050042538</v>
      </c>
      <c r="M16" s="4">
        <v>2.4151678940000001</v>
      </c>
      <c r="N16" s="2" t="s">
        <v>26</v>
      </c>
      <c r="O16" s="2"/>
      <c r="P16" s="2"/>
      <c r="Q16" s="2"/>
      <c r="R16" s="2"/>
      <c r="S16" s="2"/>
      <c r="T16" s="2"/>
      <c r="U16" s="2"/>
      <c r="V16" s="2"/>
      <c r="W16" s="2"/>
      <c r="X16" s="2"/>
      <c r="Y16" s="2"/>
      <c r="Z16" s="2"/>
      <c r="AA16" s="2"/>
    </row>
    <row r="17" spans="1:27" ht="12.75" customHeight="1" x14ac:dyDescent="0.25">
      <c r="A17" s="2" t="s">
        <v>34</v>
      </c>
      <c r="B17" s="3">
        <v>7.6548690795898438</v>
      </c>
      <c r="C17" s="3">
        <v>6.3623270988464355</v>
      </c>
      <c r="D17" s="3">
        <v>6.9298982620239258</v>
      </c>
      <c r="E17" s="3">
        <v>7.6936521530151367</v>
      </c>
      <c r="F17" s="3">
        <v>6.8616580963134766</v>
      </c>
      <c r="G17" s="3">
        <v>4.6033287048339844</v>
      </c>
      <c r="H17" s="3">
        <v>6.1260647773742676</v>
      </c>
      <c r="I17" s="3">
        <v>6.7391777038574219</v>
      </c>
      <c r="J17" s="3">
        <v>5.8594789505004883</v>
      </c>
      <c r="K17" s="3">
        <v>7.5457963943481445</v>
      </c>
      <c r="L17" s="3">
        <v>3.2611465369650001</v>
      </c>
      <c r="M17" s="4">
        <v>1.032872926</v>
      </c>
      <c r="N17" s="2" t="s">
        <v>35</v>
      </c>
      <c r="O17" s="2"/>
      <c r="P17" s="2"/>
      <c r="Q17" s="2"/>
      <c r="R17" s="2"/>
      <c r="S17" s="2"/>
      <c r="T17" s="2"/>
      <c r="U17" s="2"/>
      <c r="V17" s="2"/>
      <c r="W17" s="2"/>
      <c r="X17" s="2"/>
      <c r="Y17" s="2"/>
      <c r="Z17" s="2"/>
      <c r="AA17" s="2"/>
    </row>
    <row r="18" spans="1:27" ht="12.75" customHeight="1" x14ac:dyDescent="0.25">
      <c r="A18" s="2" t="s">
        <v>36</v>
      </c>
      <c r="B18" s="3">
        <v>7.6754183769226074</v>
      </c>
      <c r="C18" s="3">
        <v>6.6234521865844727</v>
      </c>
      <c r="D18" s="3">
        <v>6.8413763046264648</v>
      </c>
      <c r="E18" s="3">
        <v>7.1947650909423828</v>
      </c>
      <c r="F18" s="3">
        <v>6.7090463638305664</v>
      </c>
      <c r="G18" s="3">
        <v>5.6336169242858887</v>
      </c>
      <c r="H18" s="3">
        <v>6.3529071807861328</v>
      </c>
      <c r="I18" s="3">
        <v>7.2557773590087891</v>
      </c>
      <c r="J18" s="3">
        <v>6.145866870880127</v>
      </c>
      <c r="K18" s="3">
        <v>7.713348388671875</v>
      </c>
      <c r="L18" s="3">
        <v>1.3814246616750001</v>
      </c>
      <c r="M18" s="4">
        <v>1.3679907650000001</v>
      </c>
      <c r="N18" s="2" t="s">
        <v>35</v>
      </c>
      <c r="O18" s="2"/>
      <c r="P18" s="2"/>
      <c r="Q18" s="2"/>
      <c r="R18" s="2"/>
      <c r="S18" s="2"/>
      <c r="T18" s="2"/>
      <c r="U18" s="2"/>
      <c r="V18" s="2"/>
      <c r="W18" s="2"/>
      <c r="X18" s="2"/>
      <c r="Y18" s="2"/>
      <c r="Z18" s="2"/>
      <c r="AA18" s="2"/>
    </row>
    <row r="19" spans="1:27" ht="12.75" customHeight="1" x14ac:dyDescent="0.25">
      <c r="A19" s="2" t="s">
        <v>37</v>
      </c>
      <c r="B19" s="3">
        <v>8.8786725997924805</v>
      </c>
      <c r="C19" s="3">
        <v>6.9910621643066406</v>
      </c>
      <c r="D19" s="3">
        <v>7.0081672668457031</v>
      </c>
      <c r="E19" s="3">
        <v>7.5952329635620117</v>
      </c>
      <c r="F19" s="3">
        <v>6.3933858871459961</v>
      </c>
      <c r="G19" s="3">
        <v>6.4905433654785156</v>
      </c>
      <c r="H19" s="3">
        <v>6.7524838447570801</v>
      </c>
      <c r="I19" s="3">
        <v>6.1221170425415039</v>
      </c>
      <c r="J19" s="3">
        <v>6.1908321380615234</v>
      </c>
      <c r="K19" s="3">
        <v>7.3565425872802734</v>
      </c>
      <c r="L19" s="3">
        <v>1.984020452664</v>
      </c>
      <c r="M19" s="4">
        <v>0.58173586600000005</v>
      </c>
      <c r="N19" s="2" t="s">
        <v>18</v>
      </c>
      <c r="O19" s="2"/>
      <c r="P19" s="2"/>
      <c r="Q19" s="2"/>
      <c r="R19" s="2"/>
      <c r="S19" s="2"/>
      <c r="T19" s="2"/>
      <c r="U19" s="2"/>
      <c r="V19" s="2"/>
      <c r="W19" s="2"/>
      <c r="X19" s="2"/>
      <c r="Y19" s="2"/>
      <c r="Z19" s="2"/>
      <c r="AA19" s="2"/>
    </row>
    <row r="20" spans="1:27" ht="12.75" customHeight="1" x14ac:dyDescent="0.25">
      <c r="A20" s="2" t="s">
        <v>38</v>
      </c>
      <c r="B20" s="3">
        <v>7.1074590682983398</v>
      </c>
      <c r="C20" s="3">
        <v>6.3238658905029297</v>
      </c>
      <c r="D20" s="3">
        <v>6.3937325477600098</v>
      </c>
      <c r="E20" s="3">
        <v>7.7522602081298828</v>
      </c>
      <c r="F20" s="3">
        <v>6.3883028030395508</v>
      </c>
      <c r="G20" s="3">
        <v>5.6311883926391602</v>
      </c>
      <c r="H20" s="3">
        <v>5.5713820457458496</v>
      </c>
      <c r="I20" s="3">
        <v>8.0684680938720703</v>
      </c>
      <c r="J20" s="3">
        <v>6.802666187286377</v>
      </c>
      <c r="K20" s="3">
        <v>7.7659034729003906</v>
      </c>
      <c r="L20" s="3">
        <v>2.5557979885890001</v>
      </c>
      <c r="M20" s="4">
        <v>2.7050068839999999</v>
      </c>
      <c r="N20" s="2" t="s">
        <v>24</v>
      </c>
      <c r="O20" s="2"/>
      <c r="P20" s="2"/>
      <c r="Q20" s="2"/>
      <c r="R20" s="2"/>
      <c r="S20" s="2"/>
      <c r="T20" s="2"/>
      <c r="U20" s="2"/>
      <c r="V20" s="2"/>
      <c r="W20" s="2"/>
      <c r="X20" s="2"/>
      <c r="Y20" s="2"/>
      <c r="Z20" s="2"/>
      <c r="AA20" s="2"/>
    </row>
    <row r="21" spans="1:27" ht="12.75" customHeight="1" x14ac:dyDescent="0.25">
      <c r="A21" s="2" t="s">
        <v>39</v>
      </c>
      <c r="B21" s="3">
        <v>8.4302406311035156</v>
      </c>
      <c r="C21" s="3">
        <v>6.9512653350830078</v>
      </c>
      <c r="D21" s="3">
        <v>7.3893814086914063</v>
      </c>
      <c r="E21" s="3">
        <v>8.0975666046142578</v>
      </c>
      <c r="F21" s="3">
        <v>7.1378498077392578</v>
      </c>
      <c r="G21" s="3">
        <v>6.1392269134521484</v>
      </c>
      <c r="H21" s="3">
        <v>6.3655266761779785</v>
      </c>
      <c r="I21" s="3">
        <v>7.4093656539916992</v>
      </c>
      <c r="J21" s="3">
        <v>6.2494850158691406</v>
      </c>
      <c r="K21" s="3">
        <v>7.6773281097412109</v>
      </c>
      <c r="L21" s="3">
        <v>1.3149996086069999</v>
      </c>
      <c r="M21" s="4">
        <v>1.0068892730000001</v>
      </c>
      <c r="N21" s="2" t="s">
        <v>15</v>
      </c>
      <c r="O21" s="2"/>
      <c r="P21" s="2"/>
      <c r="Q21" s="2"/>
      <c r="R21" s="2"/>
      <c r="S21" s="2"/>
      <c r="T21" s="2"/>
      <c r="U21" s="2"/>
      <c r="V21" s="2"/>
      <c r="W21" s="2"/>
      <c r="X21" s="2"/>
      <c r="Y21" s="2"/>
      <c r="Z21" s="2"/>
      <c r="AA21" s="2"/>
    </row>
    <row r="22" spans="1:27" ht="12.75" customHeight="1" x14ac:dyDescent="0.25">
      <c r="A22" s="2" t="s">
        <v>40</v>
      </c>
      <c r="B22" s="3">
        <v>8.6242885589599609</v>
      </c>
      <c r="C22" s="3">
        <v>5.830174446105957</v>
      </c>
      <c r="D22" s="3">
        <v>5.6174583435058594</v>
      </c>
      <c r="E22" s="3">
        <v>6.357480525970459</v>
      </c>
      <c r="F22" s="3">
        <v>6.1154794692993164</v>
      </c>
      <c r="G22" s="3">
        <v>5.403994083404541</v>
      </c>
      <c r="H22" s="3">
        <v>5.5427389144897461</v>
      </c>
      <c r="I22" s="3">
        <v>8.2701511383056641</v>
      </c>
      <c r="J22" s="3">
        <v>5.5557413101196289</v>
      </c>
      <c r="K22" s="3">
        <v>7.5096445083618164</v>
      </c>
      <c r="L22" s="3">
        <v>3.6354896075549998</v>
      </c>
      <c r="M22" s="4">
        <v>0.92088938200000003</v>
      </c>
      <c r="N22" s="2" t="s">
        <v>35</v>
      </c>
      <c r="O22" s="2"/>
      <c r="P22" s="2"/>
      <c r="Q22" s="2"/>
      <c r="R22" s="2"/>
      <c r="S22" s="2"/>
      <c r="T22" s="2"/>
      <c r="U22" s="2"/>
      <c r="V22" s="2"/>
      <c r="W22" s="2"/>
      <c r="X22" s="2"/>
      <c r="Y22" s="2"/>
      <c r="Z22" s="2"/>
      <c r="AA22" s="2"/>
    </row>
    <row r="23" spans="1:27" ht="12.75" customHeight="1" x14ac:dyDescent="0.25">
      <c r="A23" s="2" t="s">
        <v>41</v>
      </c>
      <c r="B23" s="3">
        <v>8.2213687896728516</v>
      </c>
      <c r="C23" s="3">
        <v>6.1840529441833496</v>
      </c>
      <c r="D23" s="3">
        <v>6.2743773460388184</v>
      </c>
      <c r="E23" s="3">
        <v>7.3446187973022461</v>
      </c>
      <c r="F23" s="3">
        <v>6.4755468368530273</v>
      </c>
      <c r="G23" s="3">
        <v>5.1845026016235352</v>
      </c>
      <c r="H23" s="3">
        <v>6.2405009269714355</v>
      </c>
      <c r="I23" s="3">
        <v>6.3985872268676758</v>
      </c>
      <c r="J23" s="3">
        <v>6.0800371170043945</v>
      </c>
      <c r="K23" s="3">
        <v>8.3204479217529297</v>
      </c>
      <c r="L23" s="3">
        <v>1.7672767327500001</v>
      </c>
      <c r="M23" s="4">
        <v>1.041431864</v>
      </c>
      <c r="N23" s="2" t="s">
        <v>18</v>
      </c>
      <c r="O23" s="2"/>
      <c r="P23" s="2"/>
      <c r="Q23" s="2"/>
      <c r="R23" s="2"/>
      <c r="S23" s="2"/>
      <c r="T23" s="2"/>
      <c r="U23" s="2"/>
      <c r="V23" s="2"/>
      <c r="W23" s="2"/>
      <c r="X23" s="2"/>
      <c r="Y23" s="2"/>
      <c r="Z23" s="2"/>
      <c r="AA23" s="2"/>
    </row>
    <row r="24" spans="1:27" ht="12.75" customHeight="1" x14ac:dyDescent="0.25">
      <c r="A24" s="2" t="s">
        <v>42</v>
      </c>
      <c r="B24" s="3">
        <v>7.7837820053100586</v>
      </c>
      <c r="C24" s="3">
        <v>7.532620906829834</v>
      </c>
      <c r="D24" s="3">
        <v>5.236842155456543</v>
      </c>
      <c r="E24" s="3">
        <v>6.1861944198608398</v>
      </c>
      <c r="F24" s="3">
        <v>7.0499777793884277</v>
      </c>
      <c r="G24" s="3">
        <v>6.1050434112548828</v>
      </c>
      <c r="H24" s="3">
        <v>6.3339834213256836</v>
      </c>
      <c r="I24" s="3">
        <v>7.663823127746582</v>
      </c>
      <c r="J24" s="3">
        <v>6.2442779541015625</v>
      </c>
      <c r="K24" s="3">
        <v>7.5551304817199707</v>
      </c>
      <c r="L24" s="3">
        <v>0.94077229832200004</v>
      </c>
      <c r="M24" s="4">
        <v>1.3816565279999999</v>
      </c>
      <c r="N24" s="2" t="s">
        <v>21</v>
      </c>
      <c r="O24" s="2"/>
      <c r="P24" s="2"/>
      <c r="Q24" s="2"/>
      <c r="R24" s="2"/>
      <c r="S24" s="2"/>
      <c r="T24" s="2"/>
      <c r="U24" s="2"/>
      <c r="V24" s="2"/>
      <c r="W24" s="2"/>
      <c r="X24" s="2"/>
      <c r="Y24" s="2"/>
      <c r="Z24" s="2"/>
      <c r="AA24" s="2"/>
    </row>
    <row r="25" spans="1:27" ht="12.75" customHeight="1" x14ac:dyDescent="0.25">
      <c r="A25" s="2" t="s">
        <v>43</v>
      </c>
      <c r="B25" s="3">
        <v>7.3743076324462891</v>
      </c>
      <c r="C25" s="3">
        <v>6.7237749099731445</v>
      </c>
      <c r="D25" s="3">
        <v>6.3982868194580078</v>
      </c>
      <c r="E25" s="3">
        <v>6.7016468048095703</v>
      </c>
      <c r="F25" s="3">
        <v>6.7081241607666016</v>
      </c>
      <c r="G25" s="3">
        <v>5.3513283729553223</v>
      </c>
      <c r="H25" s="3">
        <v>6.0161027908325195</v>
      </c>
      <c r="I25" s="3">
        <v>8.0271692276000977</v>
      </c>
      <c r="J25" s="3">
        <v>7.5412797927856445</v>
      </c>
      <c r="K25" s="3">
        <v>7.3949813842773438</v>
      </c>
      <c r="L25" s="3">
        <v>5.4559852848399997</v>
      </c>
      <c r="M25" s="4">
        <v>7.6061945030000002</v>
      </c>
      <c r="N25" s="2" t="s">
        <v>21</v>
      </c>
      <c r="O25" s="2"/>
      <c r="P25" s="2"/>
      <c r="Q25" s="2"/>
      <c r="R25" s="2"/>
      <c r="S25" s="2"/>
      <c r="T25" s="2"/>
      <c r="U25" s="2"/>
      <c r="V25" s="2"/>
      <c r="W25" s="2"/>
      <c r="X25" s="2"/>
      <c r="Y25" s="2"/>
      <c r="Z25" s="2"/>
      <c r="AA25" s="2"/>
    </row>
    <row r="26" spans="1:27" ht="12.75" customHeight="1" x14ac:dyDescent="0.25">
      <c r="A26" s="2" t="s">
        <v>44</v>
      </c>
      <c r="B26" s="3">
        <v>8.2168769836425781</v>
      </c>
      <c r="C26" s="3">
        <v>5.5522527694702148</v>
      </c>
      <c r="D26" s="3">
        <v>6.3546133041381836</v>
      </c>
      <c r="E26" s="3">
        <v>7.256009578704834</v>
      </c>
      <c r="F26" s="3">
        <v>6.048731803894043</v>
      </c>
      <c r="G26" s="3">
        <v>5.3464469909667969</v>
      </c>
      <c r="H26" s="3">
        <v>5.7868175506591797</v>
      </c>
      <c r="I26" s="3">
        <v>7.4957113265991211</v>
      </c>
      <c r="J26" s="3">
        <v>7.4498295783996582</v>
      </c>
      <c r="K26" s="3">
        <v>7.9023494720458984</v>
      </c>
      <c r="L26" s="3">
        <v>1.5863736374499999</v>
      </c>
      <c r="M26" s="4">
        <v>0.68370759299999995</v>
      </c>
      <c r="N26" s="2" t="s">
        <v>26</v>
      </c>
      <c r="O26" s="2"/>
      <c r="P26" s="2"/>
      <c r="Q26" s="2"/>
      <c r="R26" s="2"/>
      <c r="S26" s="2"/>
      <c r="T26" s="2"/>
      <c r="U26" s="2"/>
      <c r="V26" s="2"/>
      <c r="W26" s="2"/>
      <c r="X26" s="2"/>
      <c r="Y26" s="2"/>
      <c r="Z26" s="2"/>
      <c r="AA26" s="2"/>
    </row>
    <row r="27" spans="1:27" ht="12.75" customHeight="1" x14ac:dyDescent="0.25">
      <c r="A27" s="2" t="s">
        <v>45</v>
      </c>
      <c r="B27" s="3">
        <v>8.0579261779785156</v>
      </c>
      <c r="C27" s="3">
        <v>6.8252277374267578</v>
      </c>
      <c r="D27" s="3">
        <v>6.7727766036987305</v>
      </c>
      <c r="E27" s="3">
        <v>7.6452417373657227</v>
      </c>
      <c r="F27" s="3">
        <v>7.0830049514770508</v>
      </c>
      <c r="G27" s="3">
        <v>5.5819563865661621</v>
      </c>
      <c r="H27" s="3">
        <v>6.754086971282959</v>
      </c>
      <c r="I27" s="3">
        <v>6.986912727355957</v>
      </c>
      <c r="J27" s="3">
        <v>6.7823004722595215</v>
      </c>
      <c r="K27" s="3">
        <v>7.8191623687744141</v>
      </c>
      <c r="L27" s="3">
        <v>1.6143741133480001</v>
      </c>
      <c r="M27" s="4">
        <v>1.694092693</v>
      </c>
      <c r="N27" s="2" t="s">
        <v>21</v>
      </c>
      <c r="O27" s="2"/>
      <c r="P27" s="2"/>
      <c r="Q27" s="2"/>
      <c r="R27" s="2"/>
      <c r="S27" s="2"/>
      <c r="T27" s="2"/>
      <c r="U27" s="2"/>
      <c r="V27" s="2"/>
      <c r="W27" s="2"/>
      <c r="X27" s="2"/>
      <c r="Y27" s="2"/>
      <c r="Z27" s="2"/>
      <c r="AA27" s="2"/>
    </row>
    <row r="28" spans="1:27" ht="12.75" customHeight="1" x14ac:dyDescent="0.25">
      <c r="A28" s="2" t="s">
        <v>46</v>
      </c>
      <c r="B28" s="3">
        <v>8.7193803787231445</v>
      </c>
      <c r="C28" s="3">
        <v>7.3406848907470703</v>
      </c>
      <c r="D28" s="3">
        <v>6.3401656150817871</v>
      </c>
      <c r="E28" s="3">
        <v>8.1794862747192383</v>
      </c>
      <c r="F28" s="3">
        <v>7.6699466705322266</v>
      </c>
      <c r="G28" s="3">
        <v>6.9201316833496094</v>
      </c>
      <c r="H28" s="3">
        <v>7.394953727722168</v>
      </c>
      <c r="I28" s="3">
        <v>7.3065834045410156</v>
      </c>
      <c r="J28" s="3">
        <v>7.1989412307739258</v>
      </c>
      <c r="K28" s="3">
        <v>8.1986799240112305</v>
      </c>
      <c r="L28" s="3">
        <v>1.789694673713</v>
      </c>
      <c r="M28" s="4">
        <v>2.2519744340000001</v>
      </c>
      <c r="N28" s="2" t="s">
        <v>21</v>
      </c>
      <c r="O28" s="2"/>
      <c r="P28" s="2"/>
      <c r="Q28" s="2"/>
      <c r="R28" s="2"/>
      <c r="S28" s="2"/>
      <c r="T28" s="2"/>
      <c r="U28" s="2"/>
      <c r="V28" s="2"/>
      <c r="W28" s="2"/>
      <c r="X28" s="2"/>
      <c r="Y28" s="2"/>
      <c r="Z28" s="2"/>
      <c r="AA28" s="2"/>
    </row>
    <row r="29" spans="1:27" ht="12.75" customHeight="1" x14ac:dyDescent="0.25">
      <c r="A29" s="2" t="s">
        <v>47</v>
      </c>
      <c r="B29" s="3">
        <v>7.8122110366821289</v>
      </c>
      <c r="C29" s="3">
        <v>6.6511850357055664</v>
      </c>
      <c r="D29" s="3">
        <v>6.0376214981079102</v>
      </c>
      <c r="E29" s="3">
        <v>8.7928590774536133</v>
      </c>
      <c r="F29" s="3">
        <v>6.9379692077636719</v>
      </c>
      <c r="G29" s="3">
        <v>6.0122661590576172</v>
      </c>
      <c r="H29" s="3">
        <v>6.9405684471130371</v>
      </c>
      <c r="I29" s="3">
        <v>7.7195115089416504</v>
      </c>
      <c r="J29" s="3">
        <v>6.1230926513671875</v>
      </c>
      <c r="K29" s="3">
        <v>8.034754753112793</v>
      </c>
      <c r="L29" s="3">
        <v>0.60798225102600001</v>
      </c>
      <c r="M29" s="4">
        <v>1.0909224909999999</v>
      </c>
      <c r="N29" s="2" t="s">
        <v>15</v>
      </c>
      <c r="O29" s="2"/>
      <c r="P29" s="2"/>
      <c r="Q29" s="2"/>
      <c r="R29" s="2"/>
      <c r="S29" s="2"/>
      <c r="T29" s="2"/>
      <c r="U29" s="2"/>
      <c r="V29" s="2"/>
      <c r="W29" s="2"/>
      <c r="X29" s="2"/>
      <c r="Y29" s="2"/>
      <c r="Z29" s="2"/>
      <c r="AA29" s="2"/>
    </row>
    <row r="30" spans="1:27" ht="12.75" customHeight="1" x14ac:dyDescent="0.25">
      <c r="A30" s="2" t="s">
        <v>48</v>
      </c>
      <c r="B30" s="3">
        <v>7.2750954627990723</v>
      </c>
      <c r="C30" s="3">
        <v>5.9664735794067383</v>
      </c>
      <c r="D30" s="3">
        <v>6.3204307556152344</v>
      </c>
      <c r="E30" s="3">
        <v>6.8130707740783691</v>
      </c>
      <c r="F30" s="3">
        <v>6.8516044616699219</v>
      </c>
      <c r="G30" s="3">
        <v>5.7353296279907227</v>
      </c>
      <c r="H30" s="3">
        <v>5.940305233001709</v>
      </c>
      <c r="I30" s="3">
        <v>6.2628135681152344</v>
      </c>
      <c r="J30" s="3">
        <v>6.0306100845336914</v>
      </c>
      <c r="K30" s="3">
        <v>6.4347391128540039</v>
      </c>
      <c r="L30" s="3">
        <v>1.110186780559</v>
      </c>
      <c r="M30" s="4">
        <v>0.90128857900000003</v>
      </c>
      <c r="N30" s="2" t="s">
        <v>18</v>
      </c>
      <c r="O30" s="2"/>
      <c r="P30" s="2"/>
      <c r="Q30" s="2"/>
      <c r="R30" s="2"/>
      <c r="S30" s="2"/>
      <c r="T30" s="2"/>
      <c r="U30" s="2"/>
      <c r="V30" s="2"/>
      <c r="W30" s="2"/>
      <c r="X30" s="2"/>
      <c r="Y30" s="2"/>
      <c r="Z30" s="2"/>
      <c r="AA30" s="2"/>
    </row>
    <row r="31" spans="1:27" ht="12.75" customHeight="1" x14ac:dyDescent="0.25">
      <c r="A31" s="2" t="s">
        <v>49</v>
      </c>
      <c r="B31" s="3">
        <v>7.4790287017822266</v>
      </c>
      <c r="C31" s="3">
        <v>7.1712284088134766</v>
      </c>
      <c r="D31" s="3">
        <v>6.2648859024047852</v>
      </c>
      <c r="E31" s="3">
        <v>7.8983621597290039</v>
      </c>
      <c r="F31" s="3">
        <v>7.3012218475341797</v>
      </c>
      <c r="G31" s="3">
        <v>6.235102653503418</v>
      </c>
      <c r="H31" s="3">
        <v>6.8713736534118652</v>
      </c>
      <c r="I31" s="3">
        <v>7.1261262893676758</v>
      </c>
      <c r="J31" s="3">
        <v>6.3604588508605957</v>
      </c>
      <c r="K31" s="3">
        <v>7.6460666656494141</v>
      </c>
      <c r="L31" s="3">
        <v>1.389766583304</v>
      </c>
      <c r="M31" s="4">
        <v>2.1507876530000001</v>
      </c>
      <c r="N31" s="2" t="s">
        <v>21</v>
      </c>
      <c r="O31" s="2"/>
      <c r="P31" s="2"/>
      <c r="Q31" s="2"/>
      <c r="R31" s="2"/>
      <c r="S31" s="2"/>
      <c r="T31" s="2"/>
      <c r="U31" s="2"/>
      <c r="V31" s="2"/>
      <c r="W31" s="2"/>
      <c r="X31" s="2"/>
      <c r="Y31" s="2"/>
      <c r="Z31" s="2"/>
      <c r="AA31" s="2"/>
    </row>
    <row r="32" spans="1:27" ht="12.75" customHeight="1" x14ac:dyDescent="0.25">
      <c r="A32" s="2" t="s">
        <v>50</v>
      </c>
      <c r="B32" s="3">
        <v>8.1045913696289063</v>
      </c>
      <c r="C32" s="3">
        <v>6.0515551567077637</v>
      </c>
      <c r="D32" s="3">
        <v>6.7771511077880859</v>
      </c>
      <c r="E32" s="3">
        <v>7.4143424034118652</v>
      </c>
      <c r="F32" s="3">
        <v>6.4262685775756836</v>
      </c>
      <c r="G32" s="3">
        <v>5.0630006790161133</v>
      </c>
      <c r="H32" s="3">
        <v>6.0628409385681152</v>
      </c>
      <c r="I32" s="3">
        <v>8.2833385467529297</v>
      </c>
      <c r="J32" s="3">
        <v>6.7675867080688477</v>
      </c>
      <c r="K32" s="3">
        <v>7.4737052917480469</v>
      </c>
      <c r="L32" s="3">
        <v>1.411953675438</v>
      </c>
      <c r="M32" s="4">
        <v>1.7288631720000001</v>
      </c>
      <c r="N32" s="2" t="s">
        <v>26</v>
      </c>
      <c r="O32" s="2"/>
      <c r="P32" s="2"/>
      <c r="Q32" s="2"/>
      <c r="R32" s="2"/>
      <c r="S32" s="2"/>
      <c r="T32" s="2"/>
      <c r="U32" s="2"/>
      <c r="V32" s="2"/>
      <c r="W32" s="2"/>
      <c r="X32" s="2"/>
      <c r="Y32" s="2"/>
      <c r="Z32" s="2"/>
      <c r="AA32" s="2"/>
    </row>
    <row r="33" spans="1:27" ht="12.75" customHeight="1" x14ac:dyDescent="0.25">
      <c r="A33" s="2" t="s">
        <v>51</v>
      </c>
      <c r="B33" s="3">
        <v>5.9006872177124023</v>
      </c>
      <c r="C33" s="3">
        <v>6.3529691696166992</v>
      </c>
      <c r="D33" s="3">
        <v>4.8037805557250977</v>
      </c>
      <c r="E33" s="3">
        <v>7.3940520286560059</v>
      </c>
      <c r="F33" s="3">
        <v>6.0803265571594238</v>
      </c>
      <c r="G33" s="3">
        <v>5.2930698394775391</v>
      </c>
      <c r="H33" s="3">
        <v>5.4284629821777344</v>
      </c>
      <c r="I33" s="3">
        <v>5.6797394752502441</v>
      </c>
      <c r="J33" s="3">
        <v>4.6129064559936523</v>
      </c>
      <c r="K33" s="3">
        <v>6.3914742469787598</v>
      </c>
      <c r="L33" s="3">
        <v>1.862227806585</v>
      </c>
      <c r="M33" s="4">
        <v>1.47207014</v>
      </c>
      <c r="N33" s="2" t="s">
        <v>15</v>
      </c>
      <c r="O33" s="2"/>
      <c r="P33" s="2"/>
      <c r="Q33" s="2"/>
      <c r="R33" s="2"/>
      <c r="S33" s="2"/>
      <c r="T33" s="2"/>
      <c r="U33" s="2"/>
      <c r="V33" s="2"/>
      <c r="W33" s="2"/>
      <c r="X33" s="2"/>
      <c r="Y33" s="2"/>
      <c r="Z33" s="2"/>
      <c r="AA33" s="2"/>
    </row>
    <row r="34" spans="1:27" ht="12.75" customHeight="1" x14ac:dyDescent="0.25">
      <c r="A34" s="2" t="s">
        <v>52</v>
      </c>
      <c r="B34" s="3">
        <v>8.2589282989501953</v>
      </c>
      <c r="C34" s="3">
        <v>6.6641864776611328</v>
      </c>
      <c r="D34" s="3">
        <v>6.4586772918701172</v>
      </c>
      <c r="E34" s="3">
        <v>7.1693639755249023</v>
      </c>
      <c r="F34" s="3">
        <v>6.7830123901367188</v>
      </c>
      <c r="G34" s="3">
        <v>5.8235740661621094</v>
      </c>
      <c r="H34" s="3">
        <v>6.1189799308776855</v>
      </c>
      <c r="I34" s="3">
        <v>7.1877756118774414</v>
      </c>
      <c r="J34" s="3">
        <v>5.7595553398132324</v>
      </c>
      <c r="K34" s="3">
        <v>6.5112457275390625</v>
      </c>
      <c r="L34" s="3">
        <v>1.9885105221899999</v>
      </c>
      <c r="M34" s="4">
        <v>1.000721032</v>
      </c>
      <c r="N34" s="2" t="s">
        <v>35</v>
      </c>
      <c r="O34" s="2"/>
      <c r="P34" s="2"/>
      <c r="Q34" s="2"/>
      <c r="R34" s="2"/>
      <c r="S34" s="2"/>
      <c r="T34" s="2"/>
      <c r="U34" s="2"/>
      <c r="V34" s="2"/>
      <c r="W34" s="2"/>
      <c r="X34" s="2"/>
      <c r="Y34" s="2"/>
      <c r="Z34" s="2"/>
      <c r="AA34" s="2"/>
    </row>
    <row r="35" spans="1:27" ht="12.75" customHeight="1" x14ac:dyDescent="0.25">
      <c r="A35" s="2" t="s">
        <v>53</v>
      </c>
      <c r="B35" s="3">
        <v>7.6808509826660156</v>
      </c>
      <c r="C35" s="3">
        <v>6.5661592483520508</v>
      </c>
      <c r="D35" s="3">
        <v>6.8992881774902344</v>
      </c>
      <c r="E35" s="3">
        <v>7.3037919998168945</v>
      </c>
      <c r="F35" s="3">
        <v>7.1602668762207031</v>
      </c>
      <c r="G35" s="3">
        <v>5.9718356132507324</v>
      </c>
      <c r="H35" s="3">
        <v>6.9016103744506836</v>
      </c>
      <c r="I35" s="3">
        <v>7.1068778038024902</v>
      </c>
      <c r="J35" s="3">
        <v>5.36529541015625</v>
      </c>
      <c r="K35" s="3">
        <v>7.0701713562011719</v>
      </c>
      <c r="L35" s="3">
        <v>1.8149131119819999</v>
      </c>
      <c r="M35" s="4">
        <v>0.86076432000000003</v>
      </c>
      <c r="N35" s="2" t="s">
        <v>18</v>
      </c>
      <c r="O35" s="2"/>
      <c r="P35" s="2"/>
      <c r="Q35" s="2"/>
      <c r="R35" s="2"/>
      <c r="S35" s="2"/>
      <c r="T35" s="2"/>
      <c r="U35" s="2"/>
      <c r="V35" s="2"/>
      <c r="W35" s="2"/>
      <c r="X35" s="2"/>
      <c r="Y35" s="2"/>
      <c r="Z35" s="2"/>
      <c r="AA35" s="2"/>
    </row>
    <row r="36" spans="1:27" ht="12.75" customHeight="1" x14ac:dyDescent="0.25">
      <c r="A36" s="2" t="s">
        <v>54</v>
      </c>
      <c r="B36" s="3">
        <v>8.4168062210083008</v>
      </c>
      <c r="C36" s="3">
        <v>5.7354588508605957</v>
      </c>
      <c r="D36" s="3">
        <v>7.2409958839416504</v>
      </c>
      <c r="E36" s="3">
        <v>7.0670156478881836</v>
      </c>
      <c r="F36" s="3">
        <v>7.5952825546264648</v>
      </c>
      <c r="G36" s="3">
        <v>6.4260392189025879</v>
      </c>
      <c r="H36" s="3">
        <v>6.3996434211730957</v>
      </c>
      <c r="I36" s="3">
        <v>7.0246338844299316</v>
      </c>
      <c r="J36" s="3">
        <v>6.0602154731750488</v>
      </c>
      <c r="K36" s="3">
        <v>7.8930320739746094</v>
      </c>
      <c r="L36" s="3">
        <v>2.3429202658600001</v>
      </c>
      <c r="M36" s="4">
        <v>0.79287091399999998</v>
      </c>
      <c r="N36" s="2" t="s">
        <v>18</v>
      </c>
      <c r="O36" s="2"/>
      <c r="P36" s="2"/>
      <c r="Q36" s="2"/>
      <c r="R36" s="2"/>
      <c r="S36" s="2"/>
      <c r="T36" s="2"/>
      <c r="U36" s="2"/>
      <c r="V36" s="2"/>
      <c r="W36" s="2"/>
      <c r="X36" s="2"/>
      <c r="Y36" s="2"/>
      <c r="Z36" s="2"/>
      <c r="AA36" s="2"/>
    </row>
    <row r="37" spans="1:27" ht="12.75" customHeight="1" x14ac:dyDescent="0.25">
      <c r="A37" s="2" t="s">
        <v>55</v>
      </c>
      <c r="B37" s="3">
        <v>7.7207727432250977</v>
      </c>
      <c r="C37" s="3">
        <v>6.7343997955322266</v>
      </c>
      <c r="D37" s="3">
        <v>7.0536437034606934</v>
      </c>
      <c r="E37" s="3">
        <v>7.7146492004394531</v>
      </c>
      <c r="F37" s="3">
        <v>6.7091865539550781</v>
      </c>
      <c r="G37" s="3">
        <v>5.728917121887207</v>
      </c>
      <c r="H37" s="3">
        <v>5.7293310165405273</v>
      </c>
      <c r="I37" s="3">
        <v>7.7054958343505859</v>
      </c>
      <c r="J37" s="3">
        <v>6.5943813323974609</v>
      </c>
      <c r="K37" s="3">
        <v>8.0466766357421875</v>
      </c>
      <c r="L37" s="3">
        <v>1.800868205959</v>
      </c>
      <c r="M37" s="4">
        <v>2.0565892990000001</v>
      </c>
      <c r="N37" s="2" t="s">
        <v>18</v>
      </c>
      <c r="O37" s="2"/>
      <c r="P37" s="2"/>
      <c r="Q37" s="2"/>
      <c r="R37" s="2"/>
      <c r="S37" s="2"/>
      <c r="T37" s="2"/>
      <c r="U37" s="2"/>
      <c r="V37" s="2"/>
      <c r="W37" s="2"/>
      <c r="X37" s="2"/>
      <c r="Y37" s="2"/>
      <c r="Z37" s="2"/>
      <c r="AA37" s="2"/>
    </row>
    <row r="38" spans="1:27" ht="12.75" customHeight="1" x14ac:dyDescent="0.25">
      <c r="A38" s="2" t="s">
        <v>56</v>
      </c>
      <c r="B38" s="3">
        <v>6.738039493560791</v>
      </c>
      <c r="C38" s="3">
        <v>6.2215695381164551</v>
      </c>
      <c r="D38" s="3">
        <v>6.1878385543823242</v>
      </c>
      <c r="E38" s="3">
        <v>7.7474684715270996</v>
      </c>
      <c r="F38" s="3">
        <v>6.7775216102600098</v>
      </c>
      <c r="G38" s="3">
        <v>5.969724178314209</v>
      </c>
      <c r="H38" s="3">
        <v>5.5718522071838379</v>
      </c>
      <c r="I38" s="3">
        <v>7.1134881973266602</v>
      </c>
      <c r="J38" s="3">
        <v>6.1510930061340332</v>
      </c>
      <c r="K38" s="3">
        <v>7.2100825309753418</v>
      </c>
      <c r="L38" s="3">
        <v>1.398514495361</v>
      </c>
      <c r="M38" s="4">
        <v>1.443190153</v>
      </c>
      <c r="N38" s="2" t="s">
        <v>35</v>
      </c>
      <c r="O38" s="2"/>
      <c r="P38" s="2"/>
      <c r="Q38" s="2"/>
      <c r="R38" s="2"/>
      <c r="S38" s="2"/>
      <c r="T38" s="2"/>
      <c r="U38" s="2"/>
      <c r="V38" s="2"/>
      <c r="W38" s="2"/>
      <c r="X38" s="2"/>
      <c r="Y38" s="2"/>
      <c r="Z38" s="2"/>
      <c r="AA38" s="2"/>
    </row>
    <row r="39" spans="1:27" ht="12.75" customHeight="1" x14ac:dyDescent="0.25">
      <c r="A39" s="2" t="s">
        <v>57</v>
      </c>
      <c r="B39" s="3">
        <v>7.0892577171325684</v>
      </c>
      <c r="C39" s="3">
        <v>6.9708805084228516</v>
      </c>
      <c r="D39" s="3">
        <v>6.6282467842102051</v>
      </c>
      <c r="E39" s="3">
        <v>8.1551036834716797</v>
      </c>
      <c r="F39" s="3">
        <v>7.3948698043823242</v>
      </c>
      <c r="G39" s="3">
        <v>7.3678750991821289</v>
      </c>
      <c r="H39" s="3">
        <v>6.8073325157165527</v>
      </c>
      <c r="I39" s="3">
        <v>7.0965476036071777</v>
      </c>
      <c r="J39" s="3">
        <v>7.1237392425537109</v>
      </c>
      <c r="K39" s="3">
        <v>8.288543701171875</v>
      </c>
      <c r="L39" s="3">
        <v>1.546594236529</v>
      </c>
      <c r="M39" s="4">
        <v>1.7947393380000001</v>
      </c>
      <c r="N39" s="2" t="s">
        <v>15</v>
      </c>
      <c r="O39" s="2"/>
      <c r="P39" s="2"/>
      <c r="Q39" s="2"/>
      <c r="R39" s="2"/>
      <c r="S39" s="2"/>
      <c r="T39" s="2"/>
      <c r="U39" s="2"/>
      <c r="V39" s="2"/>
      <c r="W39" s="2"/>
      <c r="X39" s="2"/>
      <c r="Y39" s="2"/>
      <c r="Z39" s="2"/>
      <c r="AA39" s="2"/>
    </row>
    <row r="40" spans="1:27" ht="12.75" customHeight="1" x14ac:dyDescent="0.25">
      <c r="A40" s="2" t="s">
        <v>58</v>
      </c>
      <c r="B40" s="3">
        <v>6.9591031074523926</v>
      </c>
      <c r="C40" s="3">
        <v>6.6674222946166992</v>
      </c>
      <c r="D40" s="3">
        <v>6.4647760391235352</v>
      </c>
      <c r="E40" s="3">
        <v>7.634516716003418</v>
      </c>
      <c r="F40" s="3">
        <v>6.7824058532714844</v>
      </c>
      <c r="G40" s="3">
        <v>6.547119140625</v>
      </c>
      <c r="H40" s="3">
        <v>6.1497483253479004</v>
      </c>
      <c r="I40" s="3">
        <v>6.7300491333007813</v>
      </c>
      <c r="J40" s="3">
        <v>6.565152645111084</v>
      </c>
      <c r="K40" s="3">
        <v>7.170250415802002</v>
      </c>
      <c r="L40" s="3">
        <v>1.54646333638</v>
      </c>
      <c r="M40" s="4">
        <v>1.0839977789999999</v>
      </c>
      <c r="N40" s="2" t="s">
        <v>21</v>
      </c>
      <c r="O40" s="2"/>
      <c r="P40" s="2"/>
      <c r="Q40" s="2"/>
      <c r="R40" s="2"/>
      <c r="S40" s="2"/>
      <c r="T40" s="2"/>
      <c r="U40" s="2"/>
      <c r="V40" s="2"/>
      <c r="W40" s="2"/>
      <c r="X40" s="2"/>
      <c r="Y40" s="2"/>
      <c r="Z40" s="2"/>
      <c r="AA40" s="2"/>
    </row>
    <row r="41" spans="1:27" ht="12.75" customHeight="1" x14ac:dyDescent="0.25">
      <c r="A41" s="2" t="s">
        <v>59</v>
      </c>
      <c r="B41" s="3">
        <v>7.9222879409790039</v>
      </c>
      <c r="C41" s="3">
        <v>7.0133843421936035</v>
      </c>
      <c r="D41" s="3">
        <v>5.923283576965332</v>
      </c>
      <c r="E41" s="3">
        <v>6.5406742095947266</v>
      </c>
      <c r="F41" s="3">
        <v>6.4480452537536621</v>
      </c>
      <c r="G41" s="3">
        <v>5.1021280288696289</v>
      </c>
      <c r="H41" s="3">
        <v>6.1153874397277832</v>
      </c>
      <c r="I41" s="3">
        <v>8.0076780319213867</v>
      </c>
      <c r="J41" s="3">
        <v>5.6418190002441406</v>
      </c>
      <c r="K41" s="3">
        <v>7.6754589080810547</v>
      </c>
      <c r="L41" s="3">
        <v>4.5858897100759997</v>
      </c>
      <c r="M41" s="4">
        <v>1.2975106359999999</v>
      </c>
      <c r="N41" s="2" t="s">
        <v>26</v>
      </c>
      <c r="O41" s="2"/>
      <c r="P41" s="2"/>
      <c r="Q41" s="2"/>
      <c r="R41" s="2"/>
      <c r="S41" s="2"/>
      <c r="T41" s="2"/>
      <c r="U41" s="2"/>
      <c r="V41" s="2"/>
      <c r="W41" s="2"/>
      <c r="X41" s="2"/>
      <c r="Y41" s="2"/>
      <c r="Z41" s="2"/>
      <c r="AA41" s="2"/>
    </row>
    <row r="42" spans="1:27" ht="12.75" customHeight="1" x14ac:dyDescent="0.25">
      <c r="A42" s="2" t="s">
        <v>60</v>
      </c>
      <c r="B42" s="3">
        <v>8.1380205154418945</v>
      </c>
      <c r="C42" s="3">
        <v>6.3890633583068848</v>
      </c>
      <c r="D42" s="3">
        <v>6.6628527641296387</v>
      </c>
      <c r="E42" s="3">
        <v>7.8344306945800781</v>
      </c>
      <c r="F42" s="3">
        <v>7.2792987823486328</v>
      </c>
      <c r="G42" s="3">
        <v>6.2396187782287598</v>
      </c>
      <c r="H42" s="3">
        <v>6.5436315536499023</v>
      </c>
      <c r="I42" s="3">
        <v>6.7505702972412109</v>
      </c>
      <c r="J42" s="3">
        <v>6.7634878158569336</v>
      </c>
      <c r="K42" s="3">
        <v>7.4256296157836914</v>
      </c>
      <c r="L42" s="3">
        <v>0.87912413109900001</v>
      </c>
      <c r="M42" s="4">
        <v>1.332069341</v>
      </c>
      <c r="N42" s="2" t="s">
        <v>21</v>
      </c>
      <c r="O42" s="2"/>
      <c r="P42" s="2"/>
      <c r="Q42" s="2"/>
      <c r="R42" s="2"/>
      <c r="S42" s="2"/>
      <c r="T42" s="2"/>
      <c r="U42" s="2"/>
      <c r="V42" s="2"/>
      <c r="W42" s="2"/>
      <c r="X42" s="2"/>
      <c r="Y42" s="2"/>
      <c r="Z42" s="2"/>
      <c r="AA42" s="2"/>
    </row>
    <row r="43" spans="1:27" ht="12.75" customHeight="1" x14ac:dyDescent="0.25">
      <c r="A43" s="2" t="s">
        <v>61</v>
      </c>
      <c r="B43" s="3">
        <v>7.2524619102478027</v>
      </c>
      <c r="C43" s="3">
        <v>6.803558349609375</v>
      </c>
      <c r="D43" s="3">
        <v>6.8391027450561523</v>
      </c>
      <c r="E43" s="3">
        <v>8.6676368713378906</v>
      </c>
      <c r="F43" s="3">
        <v>7.0331573486328125</v>
      </c>
      <c r="G43" s="3">
        <v>7.0795717239379883</v>
      </c>
      <c r="H43" s="3">
        <v>7.4060702323913574</v>
      </c>
      <c r="I43" s="3">
        <v>5.9996728897094727</v>
      </c>
      <c r="J43" s="3">
        <v>6.2644171714782715</v>
      </c>
      <c r="K43" s="3">
        <v>7.426114559173584</v>
      </c>
      <c r="L43" s="3">
        <v>0.73639270229300002</v>
      </c>
      <c r="M43" s="4">
        <v>1.2032349659999999</v>
      </c>
      <c r="N43" s="2" t="s">
        <v>26</v>
      </c>
      <c r="O43" s="2"/>
      <c r="P43" s="2"/>
      <c r="Q43" s="2"/>
      <c r="R43" s="2"/>
      <c r="S43" s="2"/>
      <c r="T43" s="2"/>
      <c r="U43" s="2"/>
      <c r="V43" s="2"/>
      <c r="W43" s="2"/>
      <c r="X43" s="2"/>
      <c r="Y43" s="2"/>
      <c r="Z43" s="2"/>
      <c r="AA43" s="2"/>
    </row>
    <row r="44" spans="1:27" ht="12.75" customHeight="1" x14ac:dyDescent="0.25">
      <c r="A44" s="2" t="s">
        <v>62</v>
      </c>
      <c r="B44" s="3">
        <v>7.7577400207519531</v>
      </c>
      <c r="C44" s="3">
        <v>6.7728419303894043</v>
      </c>
      <c r="D44" s="3">
        <v>5.9614968299865723</v>
      </c>
      <c r="E44" s="3">
        <v>8.00762939453125</v>
      </c>
      <c r="F44" s="3">
        <v>7.0788669586181641</v>
      </c>
      <c r="G44" s="3">
        <v>7.0235185623168945</v>
      </c>
      <c r="H44" s="3">
        <v>6.6332015991210938</v>
      </c>
      <c r="I44" s="3">
        <v>7.188408374786377</v>
      </c>
      <c r="J44" s="3">
        <v>7.4347219467163086</v>
      </c>
      <c r="K44" s="3">
        <v>6.9026684761047363</v>
      </c>
      <c r="L44" s="3">
        <v>1.2996062088110001</v>
      </c>
      <c r="M44" s="4">
        <v>1.111415753</v>
      </c>
      <c r="N44" s="2" t="s">
        <v>18</v>
      </c>
      <c r="O44" s="2"/>
      <c r="P44" s="2"/>
      <c r="Q44" s="2"/>
      <c r="R44" s="2"/>
      <c r="S44" s="2"/>
      <c r="T44" s="2"/>
      <c r="U44" s="2"/>
      <c r="V44" s="2"/>
      <c r="W44" s="2"/>
      <c r="X44" s="2"/>
      <c r="Y44" s="2"/>
      <c r="Z44" s="2"/>
      <c r="AA44" s="2"/>
    </row>
    <row r="45" spans="1:27" ht="12.75" customHeight="1" x14ac:dyDescent="0.25">
      <c r="A45" s="2" t="s">
        <v>63</v>
      </c>
      <c r="B45" s="3">
        <v>7.8903522491455078</v>
      </c>
      <c r="C45" s="3">
        <v>6.6100325584411621</v>
      </c>
      <c r="D45" s="3">
        <v>6.2528362274169922</v>
      </c>
      <c r="E45" s="3">
        <v>7.5088315010070801</v>
      </c>
      <c r="F45" s="3">
        <v>5.7196989059448242</v>
      </c>
      <c r="G45" s="3">
        <v>5.8972325325012207</v>
      </c>
      <c r="H45" s="3">
        <v>5.6005120277404785</v>
      </c>
      <c r="I45" s="3">
        <v>7.8422470092773438</v>
      </c>
      <c r="J45" s="3">
        <v>6.905207633972168</v>
      </c>
      <c r="K45" s="3">
        <v>7.7627272605895996</v>
      </c>
      <c r="L45" s="3">
        <v>1.1855832836710001</v>
      </c>
      <c r="M45" s="4">
        <v>0.87316002699999995</v>
      </c>
      <c r="N45" s="2" t="s">
        <v>26</v>
      </c>
      <c r="O45" s="2"/>
      <c r="P45" s="2"/>
      <c r="Q45" s="2"/>
      <c r="R45" s="2"/>
      <c r="S45" s="2"/>
      <c r="T45" s="2"/>
      <c r="U45" s="2"/>
      <c r="V45" s="2"/>
      <c r="W45" s="2"/>
      <c r="X45" s="2"/>
      <c r="Y45" s="2"/>
      <c r="Z45" s="2"/>
      <c r="AA45" s="2"/>
    </row>
    <row r="46" spans="1:27" ht="12.75" customHeight="1" x14ac:dyDescent="0.25">
      <c r="A46" s="2" t="s">
        <v>64</v>
      </c>
      <c r="B46" s="3">
        <v>8.0701389312744141</v>
      </c>
      <c r="C46" s="3">
        <v>6.8555631637573242</v>
      </c>
      <c r="D46" s="3">
        <v>6.5870146751403809</v>
      </c>
      <c r="E46" s="3">
        <v>5.6206507682800293</v>
      </c>
      <c r="F46" s="3">
        <v>6.2599267959594727</v>
      </c>
      <c r="G46" s="3">
        <v>5.8438096046447754</v>
      </c>
      <c r="H46" s="3">
        <v>6.0968828201293945</v>
      </c>
      <c r="I46" s="3">
        <v>7.1825962066650391</v>
      </c>
      <c r="J46" s="3">
        <v>5.5621800422668457</v>
      </c>
      <c r="K46" s="3">
        <v>7.0307765007019043</v>
      </c>
      <c r="L46" s="3">
        <v>1.7877204235090001</v>
      </c>
      <c r="M46" s="4">
        <v>0.88729461399999998</v>
      </c>
      <c r="N46" s="2" t="s">
        <v>26</v>
      </c>
      <c r="O46" s="2"/>
      <c r="P46" s="2"/>
      <c r="Q46" s="2"/>
      <c r="R46" s="2"/>
      <c r="S46" s="2"/>
      <c r="T46" s="2"/>
      <c r="U46" s="2"/>
      <c r="V46" s="2"/>
      <c r="W46" s="2"/>
      <c r="X46" s="2"/>
      <c r="Y46" s="2"/>
      <c r="Z46" s="2"/>
      <c r="AA46" s="2"/>
    </row>
    <row r="47" spans="1:27" ht="12.75" customHeight="1" x14ac:dyDescent="0.25">
      <c r="A47" s="2" t="s">
        <v>65</v>
      </c>
      <c r="B47" s="3">
        <v>7.7689027786254883</v>
      </c>
      <c r="C47" s="3">
        <v>6.0361156463623047</v>
      </c>
      <c r="D47" s="3">
        <v>6.4022312164306641</v>
      </c>
      <c r="E47" s="3">
        <v>7.5604605674743652</v>
      </c>
      <c r="F47" s="3">
        <v>6.6520676612854004</v>
      </c>
      <c r="G47" s="3">
        <v>6.7145805358886719</v>
      </c>
      <c r="H47" s="3">
        <v>6.5743393898010254</v>
      </c>
      <c r="I47" s="3">
        <v>6.6831045150756836</v>
      </c>
      <c r="J47" s="3">
        <v>6.3928918838500977</v>
      </c>
      <c r="K47" s="3">
        <v>7.492438793182373</v>
      </c>
      <c r="L47" s="3">
        <v>2.5824091122269999</v>
      </c>
      <c r="M47" s="4">
        <v>1.6107839100000001</v>
      </c>
      <c r="N47" s="2" t="s">
        <v>26</v>
      </c>
      <c r="O47" s="2"/>
      <c r="P47" s="2"/>
      <c r="Q47" s="2"/>
      <c r="R47" s="2"/>
      <c r="S47" s="2"/>
      <c r="T47" s="2"/>
      <c r="U47" s="2"/>
      <c r="V47" s="2"/>
      <c r="W47" s="2"/>
      <c r="X47" s="2"/>
      <c r="Y47" s="2"/>
      <c r="Z47" s="2"/>
      <c r="AA47" s="2"/>
    </row>
    <row r="48" spans="1:27" ht="12.75" customHeight="1" x14ac:dyDescent="0.25">
      <c r="A48" s="2" t="s">
        <v>66</v>
      </c>
      <c r="B48" s="3">
        <v>8.3378391265869141</v>
      </c>
      <c r="C48" s="3">
        <v>5.8187952041625977</v>
      </c>
      <c r="D48" s="3">
        <v>6.0373325347900391</v>
      </c>
      <c r="E48" s="3">
        <v>7.2826423645019531</v>
      </c>
      <c r="F48" s="3">
        <v>6.6201410293579102</v>
      </c>
      <c r="G48" s="3">
        <v>5.4761486053466797</v>
      </c>
      <c r="H48" s="3">
        <v>6.556358814239502</v>
      </c>
      <c r="I48" s="3">
        <v>7.3338842391967773</v>
      </c>
      <c r="J48" s="3">
        <v>6.448173999786377</v>
      </c>
      <c r="K48" s="3">
        <v>7.0190486907958984</v>
      </c>
      <c r="L48" s="3">
        <v>1.399241726786</v>
      </c>
      <c r="M48" s="4">
        <v>1.6512774640000001</v>
      </c>
      <c r="N48" s="2" t="s">
        <v>26</v>
      </c>
      <c r="O48" s="2"/>
      <c r="P48" s="2"/>
      <c r="Q48" s="2"/>
      <c r="R48" s="2"/>
      <c r="S48" s="2"/>
      <c r="T48" s="2"/>
      <c r="U48" s="2"/>
      <c r="V48" s="2"/>
      <c r="W48" s="2"/>
      <c r="X48" s="2"/>
      <c r="Y48" s="2"/>
      <c r="Z48" s="2"/>
      <c r="AA48" s="2"/>
    </row>
    <row r="49" spans="1:27" ht="12.75" customHeight="1" x14ac:dyDescent="0.25">
      <c r="A49" s="2" t="s">
        <v>67</v>
      </c>
      <c r="B49" s="3">
        <v>6.6360630989074707</v>
      </c>
      <c r="C49" s="3">
        <v>7.099949836730957</v>
      </c>
      <c r="D49" s="3">
        <v>6.948237419128418</v>
      </c>
      <c r="E49" s="3">
        <v>8.3416986465454102</v>
      </c>
      <c r="F49" s="3">
        <v>7.4342341423034668</v>
      </c>
      <c r="G49" s="3">
        <v>6.7575492858886719</v>
      </c>
      <c r="H49" s="3">
        <v>6.5472440719604492</v>
      </c>
      <c r="I49" s="3">
        <v>7.4033331871032715</v>
      </c>
      <c r="J49" s="3">
        <v>7.8579044342041016</v>
      </c>
      <c r="K49" s="3">
        <v>8.4425697326660156</v>
      </c>
      <c r="L49" s="3">
        <v>1.658307014719</v>
      </c>
      <c r="M49" s="4">
        <v>2.067339483</v>
      </c>
      <c r="N49" s="2" t="s">
        <v>21</v>
      </c>
      <c r="O49" s="2"/>
      <c r="P49" s="2"/>
      <c r="Q49" s="2"/>
      <c r="R49" s="2"/>
      <c r="S49" s="2"/>
      <c r="T49" s="2"/>
      <c r="U49" s="2"/>
      <c r="V49" s="2"/>
      <c r="W49" s="2"/>
      <c r="X49" s="2"/>
      <c r="Y49" s="2"/>
      <c r="Z49" s="2"/>
      <c r="AA49" s="2"/>
    </row>
    <row r="50" spans="1:27" ht="12.75" customHeight="1" x14ac:dyDescent="0.25">
      <c r="A50" s="2" t="s">
        <v>68</v>
      </c>
      <c r="B50" s="3">
        <v>7.1462039947509766</v>
      </c>
      <c r="C50" s="3">
        <v>6.687309741973877</v>
      </c>
      <c r="D50" s="3">
        <v>6.4237575531005859</v>
      </c>
      <c r="E50" s="3">
        <v>5.8656787872314453</v>
      </c>
      <c r="F50" s="3">
        <v>6.7953891754150391</v>
      </c>
      <c r="G50" s="3">
        <v>6.3142185211181641</v>
      </c>
      <c r="H50" s="3">
        <v>6.0209579467773438</v>
      </c>
      <c r="I50" s="3">
        <v>6.2106561660766602</v>
      </c>
      <c r="J50" s="3">
        <v>5.8255796432495117</v>
      </c>
      <c r="K50" s="3">
        <v>7.3048825263977051</v>
      </c>
      <c r="L50" s="3">
        <v>1.0081146815990001</v>
      </c>
      <c r="M50" s="4">
        <v>0.90934649300000003</v>
      </c>
      <c r="N50" s="2" t="s">
        <v>26</v>
      </c>
      <c r="O50" s="2"/>
      <c r="P50" s="2"/>
      <c r="Q50" s="2"/>
      <c r="R50" s="2"/>
      <c r="S50" s="2"/>
      <c r="T50" s="2"/>
      <c r="U50" s="2"/>
      <c r="V50" s="2"/>
      <c r="W50" s="2"/>
      <c r="X50" s="2"/>
      <c r="Y50" s="2"/>
      <c r="Z50" s="2"/>
      <c r="AA50" s="2"/>
    </row>
    <row r="51" spans="1:27" ht="12.75" customHeight="1" x14ac:dyDescent="0.25">
      <c r="A51" s="2" t="s">
        <v>69</v>
      </c>
      <c r="B51" s="3">
        <v>8.7061567306518555</v>
      </c>
      <c r="C51" s="3">
        <v>6.5954198837280273</v>
      </c>
      <c r="D51" s="3">
        <v>6.4627084732055664</v>
      </c>
      <c r="E51" s="3">
        <v>7.8539795875549316</v>
      </c>
      <c r="F51" s="3">
        <v>6.5732159614562988</v>
      </c>
      <c r="G51" s="3">
        <v>5.5971922874450684</v>
      </c>
      <c r="H51" s="3">
        <v>5.5498595237731934</v>
      </c>
      <c r="I51" s="3">
        <v>7.4484906196594238</v>
      </c>
      <c r="J51" s="3">
        <v>6.1365499496459961</v>
      </c>
      <c r="K51" s="3">
        <v>7.747349739074707</v>
      </c>
      <c r="L51" s="3">
        <v>1.0739935503669999</v>
      </c>
      <c r="M51" s="4">
        <v>0.74818952999999999</v>
      </c>
      <c r="N51" s="2" t="s">
        <v>15</v>
      </c>
      <c r="O51" s="2"/>
      <c r="P51" s="2"/>
      <c r="Q51" s="2"/>
      <c r="R51" s="2"/>
      <c r="S51" s="2"/>
      <c r="T51" s="2"/>
      <c r="U51" s="2"/>
      <c r="V51" s="2"/>
      <c r="W51" s="2"/>
      <c r="X51" s="2"/>
      <c r="Y51" s="2"/>
      <c r="Z51" s="2"/>
      <c r="AA51" s="2"/>
    </row>
    <row r="52" spans="1:27" ht="12.75" customHeight="1" x14ac:dyDescent="0.25">
      <c r="A52" s="2" t="s">
        <v>70</v>
      </c>
      <c r="B52" s="3">
        <v>8.2453813552856445</v>
      </c>
      <c r="C52" s="3">
        <v>5.9322199821472168</v>
      </c>
      <c r="D52" s="3">
        <v>7.193760871887207</v>
      </c>
      <c r="E52" s="3">
        <v>6.7104687690734863</v>
      </c>
      <c r="F52" s="3">
        <v>6.2682938575744629</v>
      </c>
      <c r="G52" s="3">
        <v>6.1015195846557617</v>
      </c>
      <c r="H52" s="3">
        <v>5.2863540649414063</v>
      </c>
      <c r="I52" s="3">
        <v>7.0093445777893066</v>
      </c>
      <c r="J52" s="3">
        <v>6.4252910614013672</v>
      </c>
      <c r="K52" s="3">
        <v>7.9124264717102051</v>
      </c>
      <c r="L52" s="3">
        <v>3.2190026480889999</v>
      </c>
      <c r="M52" s="4">
        <v>0.92515928800000002</v>
      </c>
      <c r="N52" s="2" t="s">
        <v>18</v>
      </c>
      <c r="O52" s="2"/>
      <c r="P52" s="2"/>
      <c r="Q52" s="2"/>
      <c r="R52" s="2"/>
      <c r="S52" s="2"/>
      <c r="T52" s="2"/>
      <c r="U52" s="2"/>
      <c r="V52" s="2"/>
      <c r="W52" s="2"/>
      <c r="X52" s="2"/>
      <c r="Y52" s="2"/>
      <c r="Z52" s="2"/>
      <c r="AA52" s="2"/>
    </row>
    <row r="53" spans="1:27" ht="12.75" customHeight="1" x14ac:dyDescent="0.25">
      <c r="A53" s="2" t="s">
        <v>71</v>
      </c>
      <c r="B53" s="3">
        <v>7.4384136199951172</v>
      </c>
      <c r="C53" s="3">
        <v>6.8231024742126465</v>
      </c>
      <c r="D53" s="3">
        <v>6.3870248794555664</v>
      </c>
      <c r="E53" s="3">
        <v>7.0268964767456055</v>
      </c>
      <c r="F53" s="3">
        <v>7.2578649520874023</v>
      </c>
      <c r="G53" s="3">
        <v>6.7906150817871094</v>
      </c>
      <c r="H53" s="3">
        <v>6.5614032745361328</v>
      </c>
      <c r="I53" s="3">
        <v>7.0363755226135254</v>
      </c>
      <c r="J53" s="3">
        <v>5.9352936744689941</v>
      </c>
      <c r="K53" s="3">
        <v>7.5187849998474121</v>
      </c>
      <c r="L53" s="3">
        <v>1.181013303044</v>
      </c>
      <c r="M53" s="4">
        <v>1.7907570209999999</v>
      </c>
      <c r="N53" s="2" t="s">
        <v>24</v>
      </c>
      <c r="O53" s="2"/>
      <c r="P53" s="2"/>
      <c r="Q53" s="2"/>
      <c r="R53" s="2"/>
      <c r="S53" s="2"/>
      <c r="T53" s="2"/>
      <c r="U53" s="2"/>
      <c r="V53" s="2"/>
      <c r="W53" s="2"/>
      <c r="X53" s="2"/>
      <c r="Y53" s="2"/>
      <c r="Z53" s="2"/>
      <c r="AA53" s="2"/>
    </row>
    <row r="54" spans="1:27" ht="12.75" customHeight="1" x14ac:dyDescent="0.25">
      <c r="A54" s="2" t="s">
        <v>72</v>
      </c>
      <c r="B54" s="3">
        <v>7.4412140846252441</v>
      </c>
      <c r="C54" s="3">
        <v>6.4783377647399902</v>
      </c>
      <c r="D54" s="3">
        <v>6.7372140884399414</v>
      </c>
      <c r="E54" s="3">
        <v>7.4455842971801758</v>
      </c>
      <c r="F54" s="3">
        <v>6.3680295944213867</v>
      </c>
      <c r="G54" s="3">
        <v>4.7712249755859375</v>
      </c>
      <c r="H54" s="3">
        <v>7.3914146423339844</v>
      </c>
      <c r="I54" s="3">
        <v>7.6456761360168457</v>
      </c>
      <c r="J54" s="3">
        <v>6.4923095703125</v>
      </c>
      <c r="K54" s="3">
        <v>7.2115688323974609</v>
      </c>
      <c r="L54" s="3">
        <v>1.5701334522099999</v>
      </c>
      <c r="M54" s="4">
        <v>0.86862199799999995</v>
      </c>
      <c r="N54" s="2" t="s">
        <v>21</v>
      </c>
      <c r="O54" s="2"/>
      <c r="P54" s="2"/>
      <c r="Q54" s="2"/>
      <c r="R54" s="2"/>
      <c r="S54" s="2"/>
      <c r="T54" s="2"/>
      <c r="U54" s="2"/>
      <c r="V54" s="2"/>
      <c r="W54" s="2"/>
      <c r="X54" s="2"/>
      <c r="Y54" s="2"/>
      <c r="Z54" s="2"/>
      <c r="AA54" s="2"/>
    </row>
    <row r="55" spans="1:27" ht="12.75" customHeight="1" x14ac:dyDescent="0.25">
      <c r="A55" s="2" t="s">
        <v>73</v>
      </c>
      <c r="B55" s="3">
        <v>7.5641098022460938</v>
      </c>
      <c r="C55" s="3">
        <v>6.4428505897521973</v>
      </c>
      <c r="D55" s="3">
        <v>6.289618968963623</v>
      </c>
      <c r="E55" s="3">
        <v>7.172370433807373</v>
      </c>
      <c r="F55" s="3">
        <v>6.7008352279663086</v>
      </c>
      <c r="G55" s="3">
        <v>5.5296030044555664</v>
      </c>
      <c r="H55" s="3">
        <v>6.575648307800293</v>
      </c>
      <c r="I55" s="3">
        <v>7.5812296867370605</v>
      </c>
      <c r="J55" s="3">
        <v>6.743628978729248</v>
      </c>
      <c r="K55" s="3">
        <v>7.6133818626403809</v>
      </c>
      <c r="L55" s="3">
        <v>1.1958345280689999</v>
      </c>
      <c r="M55" s="4">
        <v>2.0651438099999999</v>
      </c>
      <c r="N55" s="2" t="s">
        <v>18</v>
      </c>
      <c r="O55" s="2"/>
      <c r="P55" s="2"/>
      <c r="Q55" s="2"/>
      <c r="R55" s="2"/>
      <c r="S55" s="2"/>
      <c r="T55" s="2"/>
      <c r="U55" s="2"/>
      <c r="V55" s="2"/>
      <c r="W55" s="2"/>
      <c r="X55" s="2"/>
      <c r="Y55" s="2"/>
      <c r="Z55" s="2"/>
      <c r="AA55" s="2"/>
    </row>
    <row r="56" spans="1:27" ht="12.75" customHeight="1" x14ac:dyDescent="0.25">
      <c r="A56" s="2" t="s">
        <v>74</v>
      </c>
      <c r="B56" s="3">
        <v>7.5136032104492188</v>
      </c>
      <c r="C56" s="3">
        <v>7.0552730560302734</v>
      </c>
      <c r="D56" s="3">
        <v>6.8139467239379883</v>
      </c>
      <c r="E56" s="3">
        <v>7.0646266937255859</v>
      </c>
      <c r="F56" s="3">
        <v>6.4719381332397461</v>
      </c>
      <c r="G56" s="3">
        <v>6.4196443557739258</v>
      </c>
      <c r="H56" s="3">
        <v>6.7475848197937012</v>
      </c>
      <c r="I56" s="3">
        <v>6.8246045112609863</v>
      </c>
      <c r="J56" s="3">
        <v>6.8719077110290527</v>
      </c>
      <c r="K56" s="3">
        <v>7.6354455947875977</v>
      </c>
      <c r="L56" s="3">
        <v>3.6432299929859999</v>
      </c>
      <c r="M56" s="4">
        <v>1.0985379980000001</v>
      </c>
      <c r="N56" s="2" t="s">
        <v>26</v>
      </c>
      <c r="O56" s="2"/>
      <c r="P56" s="2"/>
      <c r="Q56" s="2"/>
      <c r="R56" s="2"/>
      <c r="S56" s="2"/>
      <c r="T56" s="2"/>
      <c r="U56" s="2"/>
      <c r="V56" s="2"/>
      <c r="W56" s="2"/>
      <c r="X56" s="2"/>
      <c r="Y56" s="2"/>
      <c r="Z56" s="2"/>
      <c r="AA56" s="2"/>
    </row>
    <row r="57" spans="1:27" ht="12.75" customHeight="1" x14ac:dyDescent="0.25">
      <c r="A57" s="2" t="s">
        <v>75</v>
      </c>
      <c r="B57" s="3">
        <v>8.4664878845214844</v>
      </c>
      <c r="C57" s="3">
        <v>6.2792434692382813</v>
      </c>
      <c r="D57" s="3">
        <v>6.4638571739196777</v>
      </c>
      <c r="E57" s="3">
        <v>8.2084980010986328</v>
      </c>
      <c r="F57" s="3">
        <v>6.7643656730651855</v>
      </c>
      <c r="G57" s="3">
        <v>5.9336743354797363</v>
      </c>
      <c r="H57" s="3">
        <v>6.747159481048584</v>
      </c>
      <c r="I57" s="3">
        <v>7.5219564437866211</v>
      </c>
      <c r="J57" s="3">
        <v>5.8652076721191406</v>
      </c>
      <c r="K57" s="3">
        <v>6.6063957214355469</v>
      </c>
      <c r="L57" s="3">
        <v>1.379564348892</v>
      </c>
      <c r="M57" s="4">
        <v>1.3011587250000001</v>
      </c>
      <c r="N57" s="2" t="s">
        <v>15</v>
      </c>
      <c r="O57" s="2"/>
      <c r="P57" s="2"/>
      <c r="Q57" s="2"/>
      <c r="R57" s="2"/>
      <c r="S57" s="2"/>
      <c r="T57" s="2"/>
      <c r="U57" s="2"/>
      <c r="V57" s="2"/>
      <c r="W57" s="2"/>
      <c r="X57" s="2"/>
      <c r="Y57" s="2"/>
      <c r="Z57" s="2"/>
      <c r="AA57" s="2"/>
    </row>
    <row r="58" spans="1:27" ht="12.75" customHeight="1" x14ac:dyDescent="0.25">
      <c r="A58" s="2" t="s">
        <v>76</v>
      </c>
      <c r="B58" s="3">
        <v>6.6681408882141113</v>
      </c>
      <c r="C58" s="3">
        <v>6.6469860076904297</v>
      </c>
      <c r="D58" s="3">
        <v>6.3187046051025391</v>
      </c>
      <c r="E58" s="3">
        <v>7.5538339614868164</v>
      </c>
      <c r="F58" s="3">
        <v>6.5781946182250977</v>
      </c>
      <c r="G58" s="3">
        <v>5.3984260559082031</v>
      </c>
      <c r="H58" s="3">
        <v>6.4864792823791504</v>
      </c>
      <c r="I58" s="3">
        <v>7.8081035614013672</v>
      </c>
      <c r="J58" s="3">
        <v>7.0807075500488281</v>
      </c>
      <c r="K58" s="3">
        <v>7.1815509796142578</v>
      </c>
      <c r="L58" s="3">
        <v>6.9375034580800001</v>
      </c>
      <c r="M58" s="4">
        <v>9.4388288800000009</v>
      </c>
      <c r="N58" s="2" t="s">
        <v>24</v>
      </c>
      <c r="O58" s="2"/>
      <c r="P58" s="2"/>
      <c r="Q58" s="2"/>
      <c r="R58" s="2"/>
      <c r="S58" s="2"/>
      <c r="T58" s="2"/>
      <c r="U58" s="2"/>
      <c r="V58" s="2"/>
      <c r="W58" s="2"/>
      <c r="X58" s="2"/>
      <c r="Y58" s="2"/>
      <c r="Z58" s="2"/>
      <c r="AA58" s="2"/>
    </row>
    <row r="59" spans="1:27" ht="12.75" customHeight="1" x14ac:dyDescent="0.25">
      <c r="A59" s="2" t="s">
        <v>77</v>
      </c>
      <c r="B59" s="3">
        <v>8.1473007202148438</v>
      </c>
      <c r="C59" s="3">
        <v>6.5754356384277344</v>
      </c>
      <c r="D59" s="3">
        <v>6.1746792793273926</v>
      </c>
      <c r="E59" s="3">
        <v>7.3714323043823242</v>
      </c>
      <c r="F59" s="3">
        <v>6.8757753372192383</v>
      </c>
      <c r="G59" s="3">
        <v>6.9819784164428711</v>
      </c>
      <c r="H59" s="3">
        <v>5.6726531982421875</v>
      </c>
      <c r="I59" s="3">
        <v>8.102046012878418</v>
      </c>
      <c r="J59" s="3">
        <v>6.5859565734863281</v>
      </c>
      <c r="K59" s="3">
        <v>6.9774117469787598</v>
      </c>
      <c r="L59" s="3">
        <v>0.86179026878200005</v>
      </c>
      <c r="M59" s="4">
        <v>1.1466328939999999</v>
      </c>
      <c r="N59" s="2" t="s">
        <v>15</v>
      </c>
      <c r="O59" s="2"/>
      <c r="P59" s="2"/>
      <c r="Q59" s="2"/>
      <c r="R59" s="2"/>
      <c r="S59" s="2"/>
      <c r="T59" s="2"/>
      <c r="U59" s="2"/>
      <c r="V59" s="2"/>
      <c r="W59" s="2"/>
      <c r="X59" s="2"/>
      <c r="Y59" s="2"/>
      <c r="Z59" s="2"/>
      <c r="AA59" s="2"/>
    </row>
    <row r="60" spans="1:27" ht="12.75" customHeight="1" x14ac:dyDescent="0.25">
      <c r="A60" s="2" t="s">
        <v>78</v>
      </c>
      <c r="B60" s="3">
        <v>7.4729647636413574</v>
      </c>
      <c r="C60" s="3">
        <v>6.8649358749389648</v>
      </c>
      <c r="D60" s="3">
        <v>6.434295654296875</v>
      </c>
      <c r="E60" s="3">
        <v>7.449798583984375</v>
      </c>
      <c r="F60" s="3">
        <v>7.3079996109008789</v>
      </c>
      <c r="G60" s="3">
        <v>6.550814151763916</v>
      </c>
      <c r="H60" s="3">
        <v>6.5118298530578613</v>
      </c>
      <c r="I60" s="3">
        <v>7.046867847442627</v>
      </c>
      <c r="J60" s="3">
        <v>7.2982816696166992</v>
      </c>
      <c r="K60" s="3">
        <v>8.4389839172363281</v>
      </c>
      <c r="L60" s="3">
        <v>1.320932347686</v>
      </c>
      <c r="M60" s="4">
        <v>1.0457213809999999</v>
      </c>
      <c r="N60" s="2" t="s">
        <v>26</v>
      </c>
      <c r="O60" s="2"/>
      <c r="P60" s="2"/>
      <c r="Q60" s="2"/>
      <c r="R60" s="2"/>
      <c r="S60" s="2"/>
      <c r="T60" s="2"/>
      <c r="U60" s="2"/>
      <c r="V60" s="2"/>
      <c r="W60" s="2"/>
      <c r="X60" s="2"/>
      <c r="Y60" s="2"/>
      <c r="Z60" s="2"/>
      <c r="AA60" s="2"/>
    </row>
    <row r="61" spans="1:27" ht="12.75" customHeight="1" x14ac:dyDescent="0.25">
      <c r="A61" s="2" t="s">
        <v>79</v>
      </c>
      <c r="B61" s="3">
        <v>7.3641014099121094</v>
      </c>
      <c r="C61" s="3">
        <v>5.6626014709472656</v>
      </c>
      <c r="D61" s="3">
        <v>6.2984209060668945</v>
      </c>
      <c r="E61" s="3">
        <v>6.665320873260498</v>
      </c>
      <c r="F61" s="3">
        <v>6.6208953857421875</v>
      </c>
      <c r="G61" s="3">
        <v>6.2308740615844727</v>
      </c>
      <c r="H61" s="3">
        <v>6.0296940803527832</v>
      </c>
      <c r="I61" s="3">
        <v>7.463320255279541</v>
      </c>
      <c r="J61" s="3">
        <v>6.4321823120117188</v>
      </c>
      <c r="K61" s="3">
        <v>7.3375153541564941</v>
      </c>
      <c r="L61" s="3">
        <v>1.3143981176190001</v>
      </c>
      <c r="M61" s="4">
        <v>0.71257471100000003</v>
      </c>
      <c r="N61" s="2" t="s">
        <v>18</v>
      </c>
      <c r="O61" s="2"/>
      <c r="P61" s="2"/>
      <c r="Q61" s="2"/>
      <c r="R61" s="2"/>
      <c r="S61" s="2"/>
      <c r="T61" s="2"/>
      <c r="U61" s="2"/>
      <c r="V61" s="2"/>
      <c r="W61" s="2"/>
      <c r="X61" s="2"/>
      <c r="Y61" s="2"/>
      <c r="Z61" s="2"/>
      <c r="AA61" s="2"/>
    </row>
    <row r="62" spans="1:27" ht="12.75" customHeight="1" x14ac:dyDescent="0.25">
      <c r="A62" s="2" t="s">
        <v>80</v>
      </c>
      <c r="B62" s="3">
        <v>6.4163613319396973</v>
      </c>
      <c r="C62" s="3">
        <v>6.3501968383789063</v>
      </c>
      <c r="D62" s="3">
        <v>5.9938759803771973</v>
      </c>
      <c r="E62" s="3">
        <v>8.3635501861572266</v>
      </c>
      <c r="F62" s="3">
        <v>6.3042421340942383</v>
      </c>
      <c r="G62" s="3">
        <v>6.9511041641235352</v>
      </c>
      <c r="H62" s="3">
        <v>6.0084748268127441</v>
      </c>
      <c r="I62" s="3">
        <v>7.1456456184387207</v>
      </c>
      <c r="J62" s="3">
        <v>5.8002967834472656</v>
      </c>
      <c r="K62" s="3">
        <v>7.3413429260253906</v>
      </c>
      <c r="L62" s="3">
        <v>0.86891066114100002</v>
      </c>
      <c r="M62" s="4">
        <v>1.1660936909999999</v>
      </c>
      <c r="N62" s="2" t="s">
        <v>15</v>
      </c>
      <c r="O62" s="2"/>
      <c r="P62" s="2"/>
      <c r="Q62" s="2"/>
      <c r="R62" s="2"/>
      <c r="S62" s="2"/>
      <c r="T62" s="2"/>
      <c r="U62" s="2"/>
      <c r="V62" s="2"/>
      <c r="W62" s="2"/>
      <c r="X62" s="2"/>
      <c r="Y62" s="2"/>
      <c r="Z62" s="2"/>
      <c r="AA62" s="2"/>
    </row>
    <row r="63" spans="1:27" ht="12.75" customHeight="1" x14ac:dyDescent="0.25">
      <c r="A63" s="2" t="s">
        <v>81</v>
      </c>
      <c r="B63" s="3">
        <v>7.3012466430664063</v>
      </c>
      <c r="C63" s="3">
        <v>6.2828855514526367</v>
      </c>
      <c r="D63" s="3">
        <v>6.8244791030883789</v>
      </c>
      <c r="E63" s="3">
        <v>7.2504911422729492</v>
      </c>
      <c r="F63" s="3">
        <v>6.7960348129272461</v>
      </c>
      <c r="G63" s="3">
        <v>6.0419540405273438</v>
      </c>
      <c r="H63" s="3">
        <v>6.2805314064025879</v>
      </c>
      <c r="I63" s="3">
        <v>7.1674513816833496</v>
      </c>
      <c r="J63" s="3">
        <v>7.1467657089233398</v>
      </c>
      <c r="K63" s="3">
        <v>7.7599868774414063</v>
      </c>
      <c r="L63" s="3">
        <v>1.1059379798490001</v>
      </c>
      <c r="M63" s="4">
        <v>2.1167058810000001</v>
      </c>
      <c r="N63" s="2" t="s">
        <v>21</v>
      </c>
      <c r="O63" s="2"/>
      <c r="P63" s="2"/>
      <c r="Q63" s="2"/>
      <c r="R63" s="2"/>
      <c r="S63" s="2"/>
      <c r="T63" s="2"/>
      <c r="U63" s="2"/>
      <c r="V63" s="2"/>
      <c r="W63" s="2"/>
      <c r="X63" s="2"/>
      <c r="Y63" s="2"/>
      <c r="Z63" s="2"/>
      <c r="AA63" s="2"/>
    </row>
    <row r="64" spans="1:27" ht="12.75" customHeight="1" x14ac:dyDescent="0.25">
      <c r="A64" s="5" t="s">
        <v>82</v>
      </c>
      <c r="B64" s="6">
        <v>6.7548236846923828</v>
      </c>
      <c r="C64" s="6">
        <v>6.8564305305480957</v>
      </c>
      <c r="D64" s="6">
        <v>7.3273582458496094</v>
      </c>
      <c r="E64" s="6">
        <v>7.7234220504760742</v>
      </c>
      <c r="F64" s="6">
        <v>7.3617563247680664</v>
      </c>
      <c r="G64" s="6">
        <v>5.7769341468811035</v>
      </c>
      <c r="H64" s="6">
        <v>6.4852447509765625</v>
      </c>
      <c r="I64" s="6">
        <v>6.6187896728515625</v>
      </c>
      <c r="J64" s="6">
        <v>5.7134799957275391</v>
      </c>
      <c r="K64" s="6">
        <v>7.7158346176147461</v>
      </c>
      <c r="L64" s="3">
        <v>1.5377460917420001</v>
      </c>
      <c r="M64" s="4">
        <v>0.92943160999999996</v>
      </c>
      <c r="N64" s="2" t="s">
        <v>18</v>
      </c>
      <c r="O64" s="2"/>
      <c r="P64" s="2"/>
      <c r="Q64" s="2"/>
      <c r="R64" s="2"/>
      <c r="S64" s="2"/>
      <c r="T64" s="2"/>
      <c r="U64" s="2"/>
      <c r="V64" s="2"/>
      <c r="W64" s="2"/>
      <c r="X64" s="2"/>
      <c r="Y64" s="2"/>
      <c r="Z64" s="2"/>
      <c r="AA64" s="2"/>
    </row>
    <row r="65" spans="1:27"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c r="AA66" s="2"/>
    </row>
    <row r="67" spans="1:27"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c r="AA67" s="2"/>
    </row>
    <row r="68" spans="1:27"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c r="AA68" s="2"/>
    </row>
    <row r="69" spans="1:27"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c r="AA69" s="2"/>
    </row>
    <row r="70" spans="1:27"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c r="AA70" s="2"/>
    </row>
    <row r="71" spans="1:27"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c r="AA72" s="2"/>
    </row>
    <row r="73" spans="1:27"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c r="AA73" s="2"/>
    </row>
    <row r="74" spans="1:27"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c r="AA74" s="2"/>
    </row>
    <row r="75" spans="1:27"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c r="AA75" s="2"/>
    </row>
    <row r="76" spans="1:27"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c r="AA77" s="2"/>
    </row>
    <row r="78" spans="1:27"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row>
    <row r="81" spans="1:27"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row>
    <row r="84" spans="1:27"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row>
    <row r="85" spans="1:27"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row>
    <row r="86" spans="1:27"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row>
    <row r="87" spans="1:27"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row>
    <row r="89" spans="1:27"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row>
    <row r="90" spans="1:27"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row>
    <row r="91" spans="1:27"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row>
    <row r="92" spans="1:27"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row>
    <row r="93" spans="1:27"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row>
    <row r="94" spans="1:27"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row>
    <row r="95" spans="1:27"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row>
    <row r="96" spans="1:27"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row>
    <row r="97" spans="1:27"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row>
    <row r="98" spans="1:27"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row>
    <row r="99" spans="1:27"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row>
    <row r="100" spans="1:27"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spans="1:27"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spans="1:27"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spans="1:27"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spans="1:27"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spans="1:27"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spans="1:27"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spans="1:27"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spans="1:27"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spans="1:27"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spans="1:27"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spans="1:27"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spans="1:27"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spans="1:27"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spans="1:27"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spans="1:27"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1:27"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1:27"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1:27"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1:27"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1:27"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1:27"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1:27"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1:27"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1:27"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1:27"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1:27"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sheetData>
  <autoFilter ref="A1:N64" xr:uid="{00000000-0009-0000-0000-000000000000}"/>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1" width="11.42578125" customWidth="1"/>
    <col min="2" max="2" width="12.42578125" customWidth="1"/>
    <col min="3" max="3" width="12" customWidth="1"/>
    <col min="4" max="5" width="16.42578125" customWidth="1"/>
    <col min="6" max="6" width="28.28515625" customWidth="1"/>
    <col min="7" max="10" width="16.42578125" customWidth="1"/>
    <col min="11" max="11" width="35.42578125" customWidth="1"/>
    <col min="12" max="12" width="16.42578125" customWidth="1"/>
    <col min="13" max="13" width="17.28515625" customWidth="1"/>
    <col min="14" max="14" width="17.7109375" customWidth="1"/>
    <col min="15" max="15" width="19.140625" customWidth="1"/>
    <col min="16" max="16" width="21.28515625" customWidth="1"/>
    <col min="17" max="18" width="20" customWidth="1"/>
    <col min="19" max="19" width="23.42578125" customWidth="1"/>
    <col min="20" max="21" width="16.42578125" customWidth="1"/>
    <col min="22" max="22" width="36.140625" customWidth="1"/>
    <col min="23" max="26" width="8.7109375" customWidth="1"/>
  </cols>
  <sheetData>
    <row r="1" spans="1:26" ht="12.75" customHeight="1" x14ac:dyDescent="0.25">
      <c r="A1" s="7" t="s">
        <v>0</v>
      </c>
      <c r="B1" s="8" t="s">
        <v>1</v>
      </c>
      <c r="C1" s="7" t="s">
        <v>83</v>
      </c>
      <c r="D1" s="7" t="s">
        <v>84</v>
      </c>
      <c r="E1" s="7" t="s">
        <v>85</v>
      </c>
      <c r="F1" s="7" t="s">
        <v>86</v>
      </c>
      <c r="G1" s="7" t="s">
        <v>87</v>
      </c>
      <c r="H1" s="7" t="s">
        <v>88</v>
      </c>
      <c r="I1" s="7" t="s">
        <v>89</v>
      </c>
      <c r="J1" s="7" t="s">
        <v>90</v>
      </c>
      <c r="K1" s="7" t="s">
        <v>91</v>
      </c>
      <c r="L1" s="7" t="s">
        <v>92</v>
      </c>
      <c r="M1" s="7" t="s">
        <v>93</v>
      </c>
      <c r="N1" s="7" t="s">
        <v>94</v>
      </c>
      <c r="O1" s="7" t="s">
        <v>95</v>
      </c>
      <c r="P1" s="7" t="s">
        <v>96</v>
      </c>
      <c r="Q1" s="7" t="s">
        <v>97</v>
      </c>
      <c r="R1" s="7" t="s">
        <v>98</v>
      </c>
      <c r="S1" s="7" t="s">
        <v>99</v>
      </c>
      <c r="T1" s="7" t="s">
        <v>100</v>
      </c>
      <c r="U1" s="7" t="s">
        <v>101</v>
      </c>
      <c r="V1" s="1" t="s">
        <v>13</v>
      </c>
      <c r="W1" s="2"/>
      <c r="X1" s="2"/>
      <c r="Y1" s="2"/>
      <c r="Z1" s="2"/>
    </row>
    <row r="2" spans="1:26" ht="12.75" customHeight="1" x14ac:dyDescent="0.25">
      <c r="A2" s="2" t="s">
        <v>14</v>
      </c>
      <c r="B2" s="9">
        <v>8.3269243240356445</v>
      </c>
      <c r="C2" s="10">
        <v>7</v>
      </c>
      <c r="D2" s="11">
        <v>0</v>
      </c>
      <c r="E2" s="10">
        <v>3.5</v>
      </c>
      <c r="F2" s="11">
        <v>0.58333331346511841</v>
      </c>
      <c r="G2" s="11">
        <v>1</v>
      </c>
      <c r="H2" s="11">
        <v>1</v>
      </c>
      <c r="I2" s="11">
        <v>0.91666668653488159</v>
      </c>
      <c r="J2" s="11">
        <v>0.83333331346511841</v>
      </c>
      <c r="K2" s="11">
        <v>0.78571426868438721</v>
      </c>
      <c r="L2" s="11">
        <v>0.54838711023330688</v>
      </c>
      <c r="M2" s="11">
        <v>0.5161290168762207</v>
      </c>
      <c r="N2" s="11">
        <v>0.5161290168762207</v>
      </c>
      <c r="O2" s="11">
        <v>0.5161290168762207</v>
      </c>
      <c r="P2" s="11">
        <v>0.5161290168762207</v>
      </c>
      <c r="Q2" s="11">
        <v>8.3333335816860199E-2</v>
      </c>
      <c r="R2" s="11">
        <v>8.3333335816860199E-2</v>
      </c>
      <c r="S2" s="11">
        <v>0.27586206793785095</v>
      </c>
      <c r="T2" s="11">
        <v>0.1666666716337204</v>
      </c>
      <c r="U2" s="11">
        <v>8.3333335816860199E-2</v>
      </c>
      <c r="V2" s="2" t="s">
        <v>15</v>
      </c>
      <c r="W2" s="2"/>
      <c r="X2" s="2"/>
      <c r="Y2" s="2"/>
      <c r="Z2" s="2"/>
    </row>
    <row r="3" spans="1:26" ht="12.75" customHeight="1" x14ac:dyDescent="0.25">
      <c r="A3" s="2" t="s">
        <v>29</v>
      </c>
      <c r="B3" s="9">
        <v>8.4894428253173828</v>
      </c>
      <c r="C3" s="10">
        <v>10.5</v>
      </c>
      <c r="D3" s="11">
        <v>0.10526315867900848</v>
      </c>
      <c r="E3" s="10">
        <v>6</v>
      </c>
      <c r="F3" s="11">
        <v>0.6428571343421936</v>
      </c>
      <c r="G3" s="11">
        <v>0.9375</v>
      </c>
      <c r="H3" s="11">
        <v>0.9375</v>
      </c>
      <c r="I3" s="11">
        <v>0.8125</v>
      </c>
      <c r="J3" s="11">
        <v>0.9375</v>
      </c>
      <c r="K3" s="11">
        <v>0.73684209585189819</v>
      </c>
      <c r="L3" s="11">
        <v>0.62962961196899414</v>
      </c>
      <c r="M3" s="11">
        <v>0.59259259700775146</v>
      </c>
      <c r="N3" s="11">
        <v>0.62962961196899414</v>
      </c>
      <c r="O3" s="11">
        <v>0.59259259700775146</v>
      </c>
      <c r="P3" s="11">
        <v>0.62962961196899414</v>
      </c>
      <c r="Q3" s="11">
        <v>0.125</v>
      </c>
      <c r="R3" s="11">
        <v>0</v>
      </c>
      <c r="S3" s="11">
        <v>0.3333333432674408</v>
      </c>
      <c r="T3" s="11">
        <v>6.25E-2</v>
      </c>
      <c r="U3" s="11">
        <v>0</v>
      </c>
      <c r="V3" s="2" t="s">
        <v>24</v>
      </c>
      <c r="W3" s="2"/>
      <c r="X3" s="2"/>
      <c r="Y3" s="2"/>
      <c r="Z3" s="2"/>
    </row>
    <row r="4" spans="1:26" ht="12.75" customHeight="1" x14ac:dyDescent="0.25">
      <c r="A4" s="2" t="s">
        <v>17</v>
      </c>
      <c r="B4" s="9">
        <v>8.0794858932495117</v>
      </c>
      <c r="C4" s="10">
        <v>7</v>
      </c>
      <c r="D4" s="11">
        <v>0</v>
      </c>
      <c r="E4" s="10">
        <v>6.5</v>
      </c>
      <c r="F4" s="11">
        <v>0.69230771064758301</v>
      </c>
      <c r="G4" s="11">
        <v>1</v>
      </c>
      <c r="H4" s="11">
        <v>1</v>
      </c>
      <c r="I4" s="11">
        <v>0.8461538553237915</v>
      </c>
      <c r="J4" s="11">
        <v>0.8461538553237915</v>
      </c>
      <c r="K4" s="11">
        <v>0.25</v>
      </c>
      <c r="L4" s="11">
        <v>0.5</v>
      </c>
      <c r="M4" s="11">
        <v>0.5</v>
      </c>
      <c r="N4" s="11">
        <v>0.5</v>
      </c>
      <c r="O4" s="11">
        <v>0.4375</v>
      </c>
      <c r="P4" s="11">
        <v>0.5</v>
      </c>
      <c r="Q4" s="11">
        <v>0</v>
      </c>
      <c r="R4" s="11">
        <v>0</v>
      </c>
      <c r="S4" s="11">
        <v>0.3333333432674408</v>
      </c>
      <c r="T4" s="11">
        <v>0</v>
      </c>
      <c r="U4" s="11">
        <v>0</v>
      </c>
      <c r="V4" s="2" t="s">
        <v>18</v>
      </c>
      <c r="W4" s="2"/>
      <c r="X4" s="2"/>
      <c r="Y4" s="2"/>
      <c r="Z4" s="2"/>
    </row>
    <row r="5" spans="1:26" ht="12.75" customHeight="1" x14ac:dyDescent="0.25">
      <c r="A5" s="2" t="s">
        <v>19</v>
      </c>
      <c r="B5" s="9">
        <v>7.8886518478393555</v>
      </c>
      <c r="C5" s="10">
        <v>7</v>
      </c>
      <c r="D5" s="11">
        <v>5.8823529630899429E-2</v>
      </c>
      <c r="E5" s="10">
        <v>3</v>
      </c>
      <c r="F5" s="11">
        <v>0.4375</v>
      </c>
      <c r="G5" s="11">
        <v>0.875</v>
      </c>
      <c r="H5" s="11">
        <v>0.75</v>
      </c>
      <c r="I5" s="11">
        <v>0.875</v>
      </c>
      <c r="J5" s="11">
        <v>0.8125</v>
      </c>
      <c r="K5" s="11">
        <v>0.76470589637756348</v>
      </c>
      <c r="L5" s="11">
        <v>0.54166668653488159</v>
      </c>
      <c r="M5" s="11">
        <v>0.54166668653488159</v>
      </c>
      <c r="N5" s="11">
        <v>0.54166668653488159</v>
      </c>
      <c r="O5" s="11">
        <v>0.54166668653488159</v>
      </c>
      <c r="P5" s="11">
        <v>0.54166668653488159</v>
      </c>
      <c r="Q5" s="11">
        <v>0.125</v>
      </c>
      <c r="R5" s="11">
        <v>0.125</v>
      </c>
      <c r="S5" s="11">
        <v>0.4166666567325592</v>
      </c>
      <c r="T5" s="11">
        <v>0.125</v>
      </c>
      <c r="U5" s="11">
        <v>0.125</v>
      </c>
      <c r="V5" s="2" t="s">
        <v>18</v>
      </c>
      <c r="W5" s="2"/>
      <c r="X5" s="2"/>
      <c r="Y5" s="2"/>
      <c r="Z5" s="2"/>
    </row>
    <row r="6" spans="1:26" ht="12.75" customHeight="1" x14ac:dyDescent="0.25">
      <c r="A6" s="2" t="s">
        <v>16</v>
      </c>
      <c r="B6" s="9">
        <v>5.5521774291992188</v>
      </c>
      <c r="C6" s="10">
        <v>4</v>
      </c>
      <c r="D6" s="11">
        <v>0.25</v>
      </c>
      <c r="E6" s="10">
        <v>7.5</v>
      </c>
      <c r="F6" s="11">
        <v>0.5</v>
      </c>
      <c r="G6" s="11">
        <v>0.8571428656578064</v>
      </c>
      <c r="H6" s="11">
        <v>1</v>
      </c>
      <c r="I6" s="11">
        <v>0.71428573131561279</v>
      </c>
      <c r="J6" s="11">
        <v>0.57142859697341919</v>
      </c>
      <c r="K6" s="11">
        <v>0.375</v>
      </c>
      <c r="L6" s="11">
        <v>9.8360657691955566E-2</v>
      </c>
      <c r="M6" s="11">
        <v>9.8360657691955566E-2</v>
      </c>
      <c r="N6" s="11">
        <v>9.8360657691955566E-2</v>
      </c>
      <c r="O6" s="11">
        <v>9.8360657691955566E-2</v>
      </c>
      <c r="P6" s="11">
        <v>9.8360657691955566E-2</v>
      </c>
      <c r="Q6" s="11">
        <v>0.28571429848670959</v>
      </c>
      <c r="R6" s="11">
        <v>0.71428573131561279</v>
      </c>
      <c r="S6" s="11">
        <v>0.91666668653488159</v>
      </c>
      <c r="T6" s="11">
        <v>0.1428571492433548</v>
      </c>
      <c r="U6" s="11">
        <v>0</v>
      </c>
      <c r="V6" s="2" t="s">
        <v>15</v>
      </c>
      <c r="W6" s="2"/>
      <c r="X6" s="2"/>
      <c r="Y6" s="2"/>
      <c r="Z6" s="2"/>
    </row>
    <row r="7" spans="1:26" ht="12.75" customHeight="1" x14ac:dyDescent="0.25">
      <c r="A7" s="2" t="s">
        <v>20</v>
      </c>
      <c r="B7" s="9">
        <v>8.0715579986572266</v>
      </c>
      <c r="C7" s="10">
        <v>7</v>
      </c>
      <c r="D7" s="11">
        <v>2.380952425301075E-2</v>
      </c>
      <c r="E7" s="10">
        <v>6</v>
      </c>
      <c r="F7" s="11">
        <v>0.65625</v>
      </c>
      <c r="G7" s="11">
        <v>0.75</v>
      </c>
      <c r="H7" s="11">
        <v>0.75</v>
      </c>
      <c r="I7" s="11">
        <v>0.75</v>
      </c>
      <c r="J7" s="11">
        <v>0.6875</v>
      </c>
      <c r="K7" s="11">
        <v>0.5476190447807312</v>
      </c>
      <c r="L7" s="11">
        <v>0.5517241358757019</v>
      </c>
      <c r="M7" s="11">
        <v>0.51724135875701904</v>
      </c>
      <c r="N7" s="11">
        <v>0.5517241358757019</v>
      </c>
      <c r="O7" s="11">
        <v>0.51724135875701904</v>
      </c>
      <c r="P7" s="11">
        <v>0.5517241358757019</v>
      </c>
      <c r="Q7" s="11">
        <v>3.125E-2</v>
      </c>
      <c r="R7" s="11">
        <v>3.125E-2</v>
      </c>
      <c r="S7" s="11">
        <v>0.3461538553237915</v>
      </c>
      <c r="T7" s="11">
        <v>0.125</v>
      </c>
      <c r="U7" s="11">
        <v>0</v>
      </c>
      <c r="V7" s="2" t="s">
        <v>21</v>
      </c>
      <c r="W7" s="2"/>
      <c r="X7" s="2"/>
      <c r="Y7" s="2"/>
      <c r="Z7" s="2"/>
    </row>
    <row r="8" spans="1:26" ht="12.75" customHeight="1" x14ac:dyDescent="0.25">
      <c r="A8" s="2" t="s">
        <v>22</v>
      </c>
      <c r="B8" s="9">
        <v>7.8261113166809082</v>
      </c>
      <c r="C8" s="10">
        <v>7</v>
      </c>
      <c r="D8" s="11">
        <v>6.8965516984462738E-2</v>
      </c>
      <c r="E8" s="10">
        <v>7</v>
      </c>
      <c r="F8" s="11">
        <v>0.2222222238779068</v>
      </c>
      <c r="G8" s="11">
        <v>0.96428573131561279</v>
      </c>
      <c r="H8" s="11">
        <v>0.92857140302658081</v>
      </c>
      <c r="I8" s="11">
        <v>0.8571428656578064</v>
      </c>
      <c r="J8" s="11">
        <v>0.8571428656578064</v>
      </c>
      <c r="K8" s="11">
        <v>0.86206895112991333</v>
      </c>
      <c r="L8" s="11">
        <v>0.5161290168762207</v>
      </c>
      <c r="M8" s="11">
        <v>0.5161290168762207</v>
      </c>
      <c r="N8" s="11">
        <v>0.5161290168762207</v>
      </c>
      <c r="O8" s="11">
        <v>0.5161290168762207</v>
      </c>
      <c r="P8" s="11">
        <v>0.5161290168762207</v>
      </c>
      <c r="Q8" s="11">
        <v>0.59259259700775146</v>
      </c>
      <c r="R8" s="11">
        <v>0.15384615957736969</v>
      </c>
      <c r="S8" s="11">
        <v>0.37037035822868347</v>
      </c>
      <c r="T8" s="11">
        <v>7.4074074625968933E-2</v>
      </c>
      <c r="U8" s="11">
        <v>0</v>
      </c>
      <c r="V8" s="2" t="s">
        <v>15</v>
      </c>
      <c r="W8" s="2"/>
      <c r="X8" s="2"/>
      <c r="Y8" s="2"/>
      <c r="Z8" s="2"/>
    </row>
    <row r="9" spans="1:26" ht="12.75" customHeight="1" x14ac:dyDescent="0.25">
      <c r="A9" s="2" t="s">
        <v>25</v>
      </c>
      <c r="B9" s="9">
        <v>7.9893455505371094</v>
      </c>
      <c r="C9" s="10">
        <v>5</v>
      </c>
      <c r="D9" s="11">
        <v>8.3333335816860199E-2</v>
      </c>
      <c r="E9" s="10">
        <v>6.5</v>
      </c>
      <c r="F9" s="11">
        <v>0.54545456171035767</v>
      </c>
      <c r="G9" s="11">
        <v>1</v>
      </c>
      <c r="H9" s="11">
        <v>0.90909093618392944</v>
      </c>
      <c r="I9" s="11">
        <v>0.90909093618392944</v>
      </c>
      <c r="J9" s="11">
        <v>0.81818181276321411</v>
      </c>
      <c r="K9" s="11">
        <v>0.83333331346511841</v>
      </c>
      <c r="L9" s="11">
        <v>0.47499999403953552</v>
      </c>
      <c r="M9" s="11">
        <v>0.47499999403953552</v>
      </c>
      <c r="N9" s="11">
        <v>0.47499999403953552</v>
      </c>
      <c r="O9" s="11">
        <v>0.44999998807907104</v>
      </c>
      <c r="P9" s="11">
        <v>0.47499999403953552</v>
      </c>
      <c r="Q9" s="11">
        <v>0.27272728085517883</v>
      </c>
      <c r="R9" s="11">
        <v>0.27272728085517883</v>
      </c>
      <c r="S9" s="11">
        <v>0.44736841320991516</v>
      </c>
      <c r="T9" s="11">
        <v>9.0909093618392944E-2</v>
      </c>
      <c r="U9" s="11">
        <v>0</v>
      </c>
      <c r="V9" s="2" t="s">
        <v>26</v>
      </c>
      <c r="W9" s="2"/>
      <c r="X9" s="2"/>
      <c r="Y9" s="2"/>
      <c r="Z9" s="2"/>
    </row>
    <row r="10" spans="1:26" ht="12.75" customHeight="1" x14ac:dyDescent="0.25">
      <c r="A10" s="2" t="s">
        <v>23</v>
      </c>
      <c r="B10" s="9">
        <v>7.1647200584411621</v>
      </c>
      <c r="C10" s="10">
        <v>7</v>
      </c>
      <c r="D10" s="11">
        <v>1.8181817606091499E-2</v>
      </c>
      <c r="E10" s="10">
        <v>7</v>
      </c>
      <c r="F10" s="11">
        <v>0.1666666716337204</v>
      </c>
      <c r="G10" s="11">
        <v>0.97916668653488159</v>
      </c>
      <c r="H10" s="11">
        <v>0.89583331346511841</v>
      </c>
      <c r="I10" s="11">
        <v>0.85416668653488159</v>
      </c>
      <c r="J10" s="11">
        <v>0.8125</v>
      </c>
      <c r="K10" s="11">
        <v>0.74545454978942871</v>
      </c>
      <c r="L10" s="11">
        <v>0.3333333432674408</v>
      </c>
      <c r="M10" s="11">
        <v>0.30303031206130981</v>
      </c>
      <c r="N10" s="11">
        <v>0.30303031206130981</v>
      </c>
      <c r="O10" s="11">
        <v>0.3333333432674408</v>
      </c>
      <c r="P10" s="11">
        <v>0.36363637447357178</v>
      </c>
      <c r="Q10" s="11">
        <v>0.625</v>
      </c>
      <c r="R10" s="11">
        <v>0.1041666641831398</v>
      </c>
      <c r="S10" s="11">
        <v>0.59375</v>
      </c>
      <c r="T10" s="11">
        <v>4.1666667908430099E-2</v>
      </c>
      <c r="U10" s="11">
        <v>0</v>
      </c>
      <c r="V10" s="2" t="s">
        <v>24</v>
      </c>
      <c r="W10" s="2"/>
      <c r="X10" s="2"/>
      <c r="Y10" s="2"/>
      <c r="Z10" s="2"/>
    </row>
    <row r="11" spans="1:26" ht="12.75" customHeight="1" x14ac:dyDescent="0.25">
      <c r="A11" s="2" t="s">
        <v>27</v>
      </c>
      <c r="B11" s="9">
        <v>7.9905905723571777</v>
      </c>
      <c r="C11" s="10">
        <v>9</v>
      </c>
      <c r="D11" s="11">
        <v>0.21052631735801697</v>
      </c>
      <c r="E11" s="10">
        <v>9</v>
      </c>
      <c r="F11" s="11">
        <v>0.64705884456634521</v>
      </c>
      <c r="G11" s="11">
        <v>0.94117647409439087</v>
      </c>
      <c r="H11" s="11">
        <v>0.88235294818878174</v>
      </c>
      <c r="I11" s="11">
        <v>0.82352942228317261</v>
      </c>
      <c r="J11" s="11">
        <v>0.94117647409439087</v>
      </c>
      <c r="K11" s="11">
        <v>0.68421053886413574</v>
      </c>
      <c r="L11" s="11">
        <v>0.64999997615814209</v>
      </c>
      <c r="M11" s="11">
        <v>0.64999997615814209</v>
      </c>
      <c r="N11" s="11">
        <v>0.64999997615814209</v>
      </c>
      <c r="O11" s="11">
        <v>0.55000001192092896</v>
      </c>
      <c r="P11" s="11">
        <v>0.55000001192092896</v>
      </c>
      <c r="Q11" s="11">
        <v>5.8823529630899429E-2</v>
      </c>
      <c r="R11" s="11">
        <v>5.8823529630899429E-2</v>
      </c>
      <c r="S11" s="11">
        <v>0.26315790414810181</v>
      </c>
      <c r="T11" s="11">
        <v>0.11764705926179886</v>
      </c>
      <c r="U11" s="11">
        <v>5.8823529630899429E-2</v>
      </c>
      <c r="V11" s="2" t="s">
        <v>24</v>
      </c>
      <c r="W11" s="2"/>
      <c r="X11" s="2"/>
      <c r="Y11" s="2"/>
      <c r="Z11" s="2"/>
    </row>
    <row r="12" spans="1:26" ht="12.75" customHeight="1" x14ac:dyDescent="0.25">
      <c r="A12" s="2" t="s">
        <v>28</v>
      </c>
      <c r="B12" s="9">
        <v>8.7792139053344727</v>
      </c>
      <c r="C12" s="10">
        <v>7</v>
      </c>
      <c r="D12" s="11">
        <v>0</v>
      </c>
      <c r="E12" s="10">
        <v>3</v>
      </c>
      <c r="F12" s="11">
        <v>0.63636362552642822</v>
      </c>
      <c r="G12" s="11">
        <v>0.90909093618392944</v>
      </c>
      <c r="H12" s="11">
        <v>0.81818181276321411</v>
      </c>
      <c r="I12" s="11">
        <v>0.90909093618392944</v>
      </c>
      <c r="J12" s="11">
        <v>0.81818181276321411</v>
      </c>
      <c r="K12" s="11">
        <v>0.81818181276321411</v>
      </c>
      <c r="L12" s="11">
        <v>0.6428571343421936</v>
      </c>
      <c r="M12" s="11">
        <v>0.6428571343421936</v>
      </c>
      <c r="N12" s="11">
        <v>0.6071428656578064</v>
      </c>
      <c r="O12" s="11">
        <v>0.6428571343421936</v>
      </c>
      <c r="P12" s="11">
        <v>0.6071428656578064</v>
      </c>
      <c r="Q12" s="11">
        <v>0</v>
      </c>
      <c r="R12" s="11">
        <v>0</v>
      </c>
      <c r="S12" s="11">
        <v>0.25</v>
      </c>
      <c r="T12" s="11">
        <v>0.27272728085517883</v>
      </c>
      <c r="U12" s="11">
        <v>0</v>
      </c>
      <c r="V12" s="2" t="s">
        <v>26</v>
      </c>
      <c r="W12" s="2"/>
      <c r="X12" s="2"/>
      <c r="Y12" s="2"/>
      <c r="Z12" s="2"/>
    </row>
    <row r="13" spans="1:26" ht="12.75" customHeight="1" x14ac:dyDescent="0.25">
      <c r="A13" s="2" t="s">
        <v>30</v>
      </c>
      <c r="B13" s="9">
        <v>8.6133852005004883</v>
      </c>
      <c r="C13" s="10">
        <v>7</v>
      </c>
      <c r="D13" s="11">
        <v>7.1428574621677399E-2</v>
      </c>
      <c r="E13" s="10">
        <v>7.5</v>
      </c>
      <c r="F13" s="11">
        <v>0.60000002384185791</v>
      </c>
      <c r="G13" s="11">
        <v>0.89999997615814209</v>
      </c>
      <c r="H13" s="11">
        <v>0.89999997615814209</v>
      </c>
      <c r="I13" s="11">
        <v>0.89999997615814209</v>
      </c>
      <c r="J13" s="11">
        <v>0.89999997615814209</v>
      </c>
      <c r="K13" s="11">
        <v>0.57142859697341919</v>
      </c>
      <c r="L13" s="11">
        <v>0.66666668653488159</v>
      </c>
      <c r="M13" s="11">
        <v>0.6388888955116272</v>
      </c>
      <c r="N13" s="11">
        <v>0.6388888955116272</v>
      </c>
      <c r="O13" s="11">
        <v>0.6388888955116272</v>
      </c>
      <c r="P13" s="11">
        <v>0.6388888955116272</v>
      </c>
      <c r="Q13" s="11">
        <v>0</v>
      </c>
      <c r="R13" s="11">
        <v>0</v>
      </c>
      <c r="S13" s="11">
        <v>0.16129031777381897</v>
      </c>
      <c r="T13" s="11">
        <v>0</v>
      </c>
      <c r="U13" s="11">
        <v>0</v>
      </c>
      <c r="V13" s="2" t="s">
        <v>15</v>
      </c>
      <c r="W13" s="2"/>
      <c r="X13" s="2"/>
      <c r="Y13" s="2"/>
      <c r="Z13" s="2"/>
    </row>
    <row r="14" spans="1:26" ht="12.75" customHeight="1" x14ac:dyDescent="0.25">
      <c r="A14" s="2" t="s">
        <v>32</v>
      </c>
      <c r="B14" s="9">
        <v>6.9015140533447266</v>
      </c>
      <c r="C14" s="10">
        <v>11.5</v>
      </c>
      <c r="D14" s="11">
        <v>0.17647059261798859</v>
      </c>
      <c r="E14" s="10">
        <v>7</v>
      </c>
      <c r="F14" s="11">
        <v>0.86206895112991333</v>
      </c>
      <c r="G14" s="11">
        <v>0.80645161867141724</v>
      </c>
      <c r="H14" s="11">
        <v>0.74193549156188965</v>
      </c>
      <c r="I14" s="11">
        <v>0.74193549156188965</v>
      </c>
      <c r="J14" s="11">
        <v>0.87096774578094482</v>
      </c>
      <c r="K14" s="11">
        <v>0.55882352590560913</v>
      </c>
      <c r="L14" s="11">
        <v>0.39622640609741211</v>
      </c>
      <c r="M14" s="11">
        <v>0.35849055647850037</v>
      </c>
      <c r="N14" s="11">
        <v>0.39622640609741211</v>
      </c>
      <c r="O14" s="11">
        <v>0.39622640609741211</v>
      </c>
      <c r="P14" s="11">
        <v>0.37735849618911743</v>
      </c>
      <c r="Q14" s="11">
        <v>0.125</v>
      </c>
      <c r="R14" s="11">
        <v>0.19354838132858276</v>
      </c>
      <c r="S14" s="11">
        <v>0.49019607901573181</v>
      </c>
      <c r="T14" s="11">
        <v>0.3125</v>
      </c>
      <c r="U14" s="11">
        <v>0.125</v>
      </c>
      <c r="V14" s="2" t="s">
        <v>15</v>
      </c>
      <c r="W14" s="2"/>
      <c r="X14" s="2"/>
      <c r="Y14" s="2"/>
      <c r="Z14" s="2"/>
    </row>
    <row r="15" spans="1:26" ht="12.75" customHeight="1" x14ac:dyDescent="0.25">
      <c r="A15" s="2" t="s">
        <v>31</v>
      </c>
      <c r="B15" s="9">
        <v>8.1747722625732422</v>
      </c>
      <c r="C15" s="10">
        <v>7</v>
      </c>
      <c r="D15" s="11">
        <v>0</v>
      </c>
      <c r="E15" s="10">
        <v>5</v>
      </c>
      <c r="F15" s="11">
        <v>0.3333333432674408</v>
      </c>
      <c r="G15" s="11">
        <v>1</v>
      </c>
      <c r="H15" s="11">
        <v>0.93333333730697632</v>
      </c>
      <c r="I15" s="11">
        <v>0.89999997615814209</v>
      </c>
      <c r="J15" s="11">
        <v>0.89999997615814209</v>
      </c>
      <c r="K15" s="11">
        <v>0.61290323734283447</v>
      </c>
      <c r="L15" s="11">
        <v>0.58139532804489136</v>
      </c>
      <c r="M15" s="11">
        <v>0.53488373756408691</v>
      </c>
      <c r="N15" s="11">
        <v>0.58139532804489136</v>
      </c>
      <c r="O15" s="11">
        <v>0.55813956260681152</v>
      </c>
      <c r="P15" s="11">
        <v>0.53488373756408691</v>
      </c>
      <c r="Q15" s="11">
        <v>6.8965516984462738E-2</v>
      </c>
      <c r="R15" s="11">
        <v>6.8965516984462738E-2</v>
      </c>
      <c r="S15" s="11">
        <v>0.32558140158653259</v>
      </c>
      <c r="T15" s="11">
        <v>0.10000000149011612</v>
      </c>
      <c r="U15" s="11">
        <v>3.3333335071802139E-2</v>
      </c>
      <c r="V15" s="2" t="s">
        <v>18</v>
      </c>
      <c r="W15" s="2"/>
      <c r="X15" s="2"/>
      <c r="Y15" s="2"/>
      <c r="Z15" s="2"/>
    </row>
    <row r="16" spans="1:26" ht="12.75" customHeight="1" x14ac:dyDescent="0.25">
      <c r="A16" s="2" t="s">
        <v>33</v>
      </c>
      <c r="B16" s="9">
        <v>8.047943115234375</v>
      </c>
      <c r="C16" s="10">
        <v>7</v>
      </c>
      <c r="D16" s="11">
        <v>0.1041666641831398</v>
      </c>
      <c r="E16" s="10">
        <v>5</v>
      </c>
      <c r="F16" s="11">
        <v>0.75555557012557983</v>
      </c>
      <c r="G16" s="11">
        <v>0.82608693838119507</v>
      </c>
      <c r="H16" s="11">
        <v>0.8913043737411499</v>
      </c>
      <c r="I16" s="11">
        <v>0.80434781312942505</v>
      </c>
      <c r="J16" s="11">
        <v>0.82608693838119507</v>
      </c>
      <c r="K16" s="11">
        <v>0.70833331346511841</v>
      </c>
      <c r="L16" s="11">
        <v>0.54545456171035767</v>
      </c>
      <c r="M16" s="11">
        <v>0.52727270126342773</v>
      </c>
      <c r="N16" s="11">
        <v>0.52727270126342773</v>
      </c>
      <c r="O16" s="11">
        <v>0.52727270126342773</v>
      </c>
      <c r="P16" s="11">
        <v>0.50909090042114258</v>
      </c>
      <c r="Q16" s="11">
        <v>2.1739130839705467E-2</v>
      </c>
      <c r="R16" s="11">
        <v>4.3478261679410934E-2</v>
      </c>
      <c r="S16" s="11">
        <v>0.36734694242477417</v>
      </c>
      <c r="T16" s="11">
        <v>0.19565217196941376</v>
      </c>
      <c r="U16" s="11">
        <v>6.5217390656471252E-2</v>
      </c>
      <c r="V16" s="2" t="s">
        <v>26</v>
      </c>
      <c r="W16" s="2"/>
      <c r="X16" s="2"/>
      <c r="Y16" s="2"/>
      <c r="Z16" s="2"/>
    </row>
    <row r="17" spans="1:26" ht="12.75" customHeight="1" x14ac:dyDescent="0.25">
      <c r="A17" s="2" t="s">
        <v>34</v>
      </c>
      <c r="B17" s="9">
        <v>7.6548690795898438</v>
      </c>
      <c r="C17" s="10">
        <v>10</v>
      </c>
      <c r="D17" s="11">
        <v>0</v>
      </c>
      <c r="E17" s="10">
        <v>10.5</v>
      </c>
      <c r="F17" s="11">
        <v>0.57142859697341919</v>
      </c>
      <c r="G17" s="11">
        <v>1</v>
      </c>
      <c r="H17" s="11">
        <v>1</v>
      </c>
      <c r="I17" s="11">
        <v>1</v>
      </c>
      <c r="J17" s="11">
        <v>1</v>
      </c>
      <c r="K17" s="11">
        <v>0.75</v>
      </c>
      <c r="L17" s="11">
        <v>0.42553192377090454</v>
      </c>
      <c r="M17" s="11">
        <v>0.36170211434364319</v>
      </c>
      <c r="N17" s="11">
        <v>0.40425533056259155</v>
      </c>
      <c r="O17" s="11">
        <v>0.36170211434364319</v>
      </c>
      <c r="P17" s="11">
        <v>0.42553192377090454</v>
      </c>
      <c r="Q17" s="11">
        <v>0.1428571492433548</v>
      </c>
      <c r="R17" s="11">
        <v>0.28571429848670959</v>
      </c>
      <c r="S17" s="11">
        <v>0.52272725105285645</v>
      </c>
      <c r="T17" s="11">
        <v>0.28571429848670959</v>
      </c>
      <c r="U17" s="11">
        <v>0</v>
      </c>
      <c r="V17" s="2" t="s">
        <v>35</v>
      </c>
      <c r="W17" s="2"/>
      <c r="X17" s="2"/>
      <c r="Y17" s="2"/>
      <c r="Z17" s="2"/>
    </row>
    <row r="18" spans="1:26" ht="12.75" customHeight="1" x14ac:dyDescent="0.25">
      <c r="A18" s="2" t="s">
        <v>36</v>
      </c>
      <c r="B18" s="9">
        <v>7.6754183769226074</v>
      </c>
      <c r="C18" s="10">
        <v>8.5</v>
      </c>
      <c r="D18" s="11">
        <v>0.1944444477558136</v>
      </c>
      <c r="E18" s="10">
        <v>7</v>
      </c>
      <c r="F18" s="11">
        <v>0.375</v>
      </c>
      <c r="G18" s="11">
        <v>0.81818181276321411</v>
      </c>
      <c r="H18" s="11">
        <v>0.90909093618392944</v>
      </c>
      <c r="I18" s="11">
        <v>0.78787881135940552</v>
      </c>
      <c r="J18" s="11">
        <v>0.78787881135940552</v>
      </c>
      <c r="K18" s="11">
        <v>0.72222220897674561</v>
      </c>
      <c r="L18" s="11">
        <v>0.51724135875701904</v>
      </c>
      <c r="M18" s="11">
        <v>0.51724135875701904</v>
      </c>
      <c r="N18" s="11">
        <v>0.5517241358757019</v>
      </c>
      <c r="O18" s="11">
        <v>0.5517241358757019</v>
      </c>
      <c r="P18" s="11">
        <v>0.5517241358757019</v>
      </c>
      <c r="Q18" s="11">
        <v>0</v>
      </c>
      <c r="R18" s="11">
        <v>3.125E-2</v>
      </c>
      <c r="S18" s="11">
        <v>0.31999999284744263</v>
      </c>
      <c r="T18" s="11">
        <v>0.15151515603065491</v>
      </c>
      <c r="U18" s="11">
        <v>0</v>
      </c>
      <c r="V18" s="2" t="s">
        <v>35</v>
      </c>
      <c r="W18" s="2"/>
      <c r="X18" s="2"/>
      <c r="Y18" s="2"/>
      <c r="Z18" s="2"/>
    </row>
    <row r="19" spans="1:26" ht="12.75" customHeight="1" x14ac:dyDescent="0.25">
      <c r="A19" s="2" t="s">
        <v>37</v>
      </c>
      <c r="B19" s="9">
        <v>8.8786725997924805</v>
      </c>
      <c r="C19" s="10">
        <v>5</v>
      </c>
      <c r="D19" s="11">
        <v>0</v>
      </c>
      <c r="E19" s="10">
        <v>3</v>
      </c>
      <c r="F19" s="11">
        <v>0.58333331346511841</v>
      </c>
      <c r="G19" s="11">
        <v>0.91666668653488159</v>
      </c>
      <c r="H19" s="11">
        <v>0.91666668653488159</v>
      </c>
      <c r="I19" s="11">
        <v>1</v>
      </c>
      <c r="J19" s="11">
        <v>0.91666668653488159</v>
      </c>
      <c r="K19" s="11">
        <v>0.52941179275512695</v>
      </c>
      <c r="L19" s="11">
        <v>0.70212763547897339</v>
      </c>
      <c r="M19" s="11">
        <v>0.70212763547897339</v>
      </c>
      <c r="N19" s="11">
        <v>0.70212763547897339</v>
      </c>
      <c r="O19" s="11">
        <v>0.63829785585403442</v>
      </c>
      <c r="P19" s="11">
        <v>0.6808510422706604</v>
      </c>
      <c r="Q19" s="11">
        <v>7.6923079788684845E-2</v>
      </c>
      <c r="R19" s="11">
        <v>7.6923079788684845E-2</v>
      </c>
      <c r="S19" s="11">
        <v>0.26666668057441711</v>
      </c>
      <c r="T19" s="11">
        <v>7.6923079788684845E-2</v>
      </c>
      <c r="U19" s="11">
        <v>0</v>
      </c>
      <c r="V19" s="2" t="s">
        <v>18</v>
      </c>
      <c r="W19" s="2"/>
      <c r="X19" s="2"/>
      <c r="Y19" s="2"/>
      <c r="Z19" s="2"/>
    </row>
    <row r="20" spans="1:26" ht="12.75" customHeight="1" x14ac:dyDescent="0.25">
      <c r="A20" s="2" t="s">
        <v>38</v>
      </c>
      <c r="B20" s="9">
        <v>7.1074590682983398</v>
      </c>
      <c r="C20" s="10">
        <v>11</v>
      </c>
      <c r="D20" s="11">
        <v>0.11538461595773697</v>
      </c>
      <c r="E20" s="10">
        <v>8</v>
      </c>
      <c r="F20" s="11">
        <v>0.6086956262588501</v>
      </c>
      <c r="G20" s="11">
        <v>1</v>
      </c>
      <c r="H20" s="11">
        <v>0.91304349899291992</v>
      </c>
      <c r="I20" s="11">
        <v>0.82608693838119507</v>
      </c>
      <c r="J20" s="11">
        <v>0.86956518888473511</v>
      </c>
      <c r="K20" s="11">
        <v>0.69230771064758301</v>
      </c>
      <c r="L20" s="11">
        <v>0.3333333432674408</v>
      </c>
      <c r="M20" s="11">
        <v>0.3333333432674408</v>
      </c>
      <c r="N20" s="11">
        <v>0.36666667461395264</v>
      </c>
      <c r="O20" s="11">
        <v>0.36666667461395264</v>
      </c>
      <c r="P20" s="11">
        <v>0.3333333432674408</v>
      </c>
      <c r="Q20" s="11">
        <v>0.1304347813129425</v>
      </c>
      <c r="R20" s="11">
        <v>8.6956523358821869E-2</v>
      </c>
      <c r="S20" s="11">
        <v>0.51724135875701904</v>
      </c>
      <c r="T20" s="11">
        <v>0.25</v>
      </c>
      <c r="U20" s="11">
        <v>8.3333335816860199E-2</v>
      </c>
      <c r="V20" s="2" t="s">
        <v>24</v>
      </c>
      <c r="W20" s="2"/>
      <c r="X20" s="2"/>
      <c r="Y20" s="2"/>
      <c r="Z20" s="2"/>
    </row>
    <row r="21" spans="1:26" ht="12.75" customHeight="1" x14ac:dyDescent="0.25">
      <c r="A21" s="2" t="s">
        <v>39</v>
      </c>
      <c r="B21" s="9">
        <v>8.4302406311035156</v>
      </c>
      <c r="C21" s="10">
        <v>8</v>
      </c>
      <c r="D21" s="11">
        <v>6.6666670143604279E-2</v>
      </c>
      <c r="E21" s="10">
        <v>7</v>
      </c>
      <c r="F21" s="11">
        <v>0.6428571343421936</v>
      </c>
      <c r="G21" s="11">
        <v>0.93333333730697632</v>
      </c>
      <c r="H21" s="11">
        <v>0.93333333730697632</v>
      </c>
      <c r="I21" s="11">
        <v>0.80000001192092896</v>
      </c>
      <c r="J21" s="11">
        <v>0.93333333730697632</v>
      </c>
      <c r="K21" s="11">
        <v>0.80000001192092896</v>
      </c>
      <c r="L21" s="11">
        <v>0.60465115308761597</v>
      </c>
      <c r="M21" s="11">
        <v>0.53488373756408691</v>
      </c>
      <c r="N21" s="11">
        <v>0.58139532804489136</v>
      </c>
      <c r="O21" s="11">
        <v>0.58139532804489136</v>
      </c>
      <c r="P21" s="11">
        <v>0.60465115308761597</v>
      </c>
      <c r="Q21" s="11">
        <v>0</v>
      </c>
      <c r="R21" s="11">
        <v>6.6666670143604279E-2</v>
      </c>
      <c r="S21" s="11">
        <v>0.32499998807907104</v>
      </c>
      <c r="T21" s="11">
        <v>0.20000000298023224</v>
      </c>
      <c r="U21" s="11">
        <v>0</v>
      </c>
      <c r="V21" s="2" t="s">
        <v>15</v>
      </c>
      <c r="W21" s="2"/>
      <c r="X21" s="2"/>
      <c r="Y21" s="2"/>
      <c r="Z21" s="2"/>
    </row>
    <row r="22" spans="1:26" ht="12.75" customHeight="1" x14ac:dyDescent="0.25">
      <c r="A22" s="2" t="s">
        <v>40</v>
      </c>
      <c r="B22" s="9">
        <v>8.6242885589599609</v>
      </c>
      <c r="C22" s="10">
        <v>7</v>
      </c>
      <c r="D22" s="11">
        <v>2.083333395421505E-2</v>
      </c>
      <c r="E22" s="10">
        <v>6</v>
      </c>
      <c r="F22" s="11">
        <v>0.65625</v>
      </c>
      <c r="G22" s="11">
        <v>0.96875</v>
      </c>
      <c r="H22" s="11">
        <v>0.9375</v>
      </c>
      <c r="I22" s="11">
        <v>0.875</v>
      </c>
      <c r="J22" s="11">
        <v>0.9375</v>
      </c>
      <c r="K22" s="11">
        <v>0.5625</v>
      </c>
      <c r="L22" s="11">
        <v>0.63636362552642822</v>
      </c>
      <c r="M22" s="11">
        <v>0.60606062412261963</v>
      </c>
      <c r="N22" s="11">
        <v>0.63636362552642822</v>
      </c>
      <c r="O22" s="11">
        <v>0.57575756311416626</v>
      </c>
      <c r="P22" s="11">
        <v>0.54545456171035767</v>
      </c>
      <c r="Q22" s="11">
        <v>6.25E-2</v>
      </c>
      <c r="R22" s="11">
        <v>9.375E-2</v>
      </c>
      <c r="S22" s="11">
        <v>0.26666668057441711</v>
      </c>
      <c r="T22" s="11">
        <v>0</v>
      </c>
      <c r="U22" s="11">
        <v>0</v>
      </c>
      <c r="V22" s="2" t="s">
        <v>35</v>
      </c>
      <c r="W22" s="2"/>
      <c r="X22" s="2"/>
      <c r="Y22" s="2"/>
      <c r="Z22" s="2"/>
    </row>
    <row r="23" spans="1:26" ht="12.75" customHeight="1" x14ac:dyDescent="0.25">
      <c r="A23" s="2" t="s">
        <v>76</v>
      </c>
      <c r="B23" s="9">
        <v>6.6681408882141113</v>
      </c>
      <c r="C23" s="10">
        <v>7</v>
      </c>
      <c r="D23" s="11">
        <v>9.6774190664291382E-2</v>
      </c>
      <c r="E23" s="10">
        <v>7</v>
      </c>
      <c r="F23" s="11">
        <v>0.61818182468414307</v>
      </c>
      <c r="G23" s="11">
        <v>0.85964912176132202</v>
      </c>
      <c r="H23" s="11">
        <v>0.87719297409057617</v>
      </c>
      <c r="I23" s="11">
        <v>0.82456141710281372</v>
      </c>
      <c r="J23" s="11">
        <v>0.73684209585189819</v>
      </c>
      <c r="K23" s="11">
        <v>0.49462366104125977</v>
      </c>
      <c r="L23" s="11">
        <v>0.22666667401790619</v>
      </c>
      <c r="M23" s="11">
        <v>0.21333333849906921</v>
      </c>
      <c r="N23" s="11">
        <v>0.22666667401790619</v>
      </c>
      <c r="O23" s="11">
        <v>0.23999999463558197</v>
      </c>
      <c r="P23" s="11">
        <v>0.23999999463558197</v>
      </c>
      <c r="Q23" s="11">
        <v>0.33928570151329041</v>
      </c>
      <c r="R23" s="11">
        <v>0.41818180680274963</v>
      </c>
      <c r="S23" s="11">
        <v>0.68055558204650879</v>
      </c>
      <c r="T23" s="11">
        <v>8.7719298899173737E-2</v>
      </c>
      <c r="U23" s="11">
        <v>1.7543859779834747E-2</v>
      </c>
      <c r="V23" s="2" t="s">
        <v>24</v>
      </c>
      <c r="W23" s="2"/>
      <c r="X23" s="2"/>
      <c r="Y23" s="2"/>
      <c r="Z23" s="2"/>
    </row>
    <row r="24" spans="1:26" ht="12.75" customHeight="1" x14ac:dyDescent="0.25">
      <c r="A24" s="2" t="s">
        <v>41</v>
      </c>
      <c r="B24" s="9">
        <v>8.2213687896728516</v>
      </c>
      <c r="C24" s="10">
        <v>7</v>
      </c>
      <c r="D24" s="11">
        <v>0.25</v>
      </c>
      <c r="E24" s="10">
        <v>7</v>
      </c>
      <c r="F24" s="11">
        <v>0.6428571343421936</v>
      </c>
      <c r="G24" s="11">
        <v>1</v>
      </c>
      <c r="H24" s="11">
        <v>0.92857140302658081</v>
      </c>
      <c r="I24" s="11">
        <v>1</v>
      </c>
      <c r="J24" s="11">
        <v>0.92857140302658081</v>
      </c>
      <c r="K24" s="11">
        <v>0.75</v>
      </c>
      <c r="L24" s="11">
        <v>0.625</v>
      </c>
      <c r="M24" s="11">
        <v>0.625</v>
      </c>
      <c r="N24" s="11">
        <v>0.625</v>
      </c>
      <c r="O24" s="11">
        <v>0.625</v>
      </c>
      <c r="P24" s="11">
        <v>0.59375</v>
      </c>
      <c r="Q24" s="11">
        <v>6.6666670143604279E-2</v>
      </c>
      <c r="R24" s="11">
        <v>0</v>
      </c>
      <c r="S24" s="11">
        <v>0.23333333432674408</v>
      </c>
      <c r="T24" s="11">
        <v>0.20000000298023224</v>
      </c>
      <c r="U24" s="11">
        <v>0</v>
      </c>
      <c r="V24" s="2" t="s">
        <v>18</v>
      </c>
      <c r="W24" s="2"/>
      <c r="X24" s="2"/>
      <c r="Y24" s="2"/>
      <c r="Z24" s="2"/>
    </row>
    <row r="25" spans="1:26" ht="12.75" customHeight="1" x14ac:dyDescent="0.25">
      <c r="A25" s="2" t="s">
        <v>42</v>
      </c>
      <c r="B25" s="9">
        <v>7.7837820053100586</v>
      </c>
      <c r="C25" s="10">
        <v>7</v>
      </c>
      <c r="D25" s="11">
        <v>6.4516127109527588E-2</v>
      </c>
      <c r="E25" s="10">
        <v>5</v>
      </c>
      <c r="F25" s="11">
        <v>0.3461538553237915</v>
      </c>
      <c r="G25" s="11">
        <v>0.96153843402862549</v>
      </c>
      <c r="H25" s="11">
        <v>0.88461536169052124</v>
      </c>
      <c r="I25" s="11">
        <v>0.96153843402862549</v>
      </c>
      <c r="J25" s="11">
        <v>0.92307692766189575</v>
      </c>
      <c r="K25" s="11">
        <v>0.67741936445236206</v>
      </c>
      <c r="L25" s="11">
        <v>0.51999998092651367</v>
      </c>
      <c r="M25" s="11">
        <v>0.47999998927116394</v>
      </c>
      <c r="N25" s="11">
        <v>0.51999998092651367</v>
      </c>
      <c r="O25" s="11">
        <v>0.47999998927116394</v>
      </c>
      <c r="P25" s="11">
        <v>0.47999998927116394</v>
      </c>
      <c r="Q25" s="11">
        <v>0.23076923191547394</v>
      </c>
      <c r="R25" s="11">
        <v>0.15384615957736969</v>
      </c>
      <c r="S25" s="11">
        <v>0.45454546809196472</v>
      </c>
      <c r="T25" s="11">
        <v>0.19230769574642181</v>
      </c>
      <c r="U25" s="11">
        <v>0</v>
      </c>
      <c r="V25" s="2" t="s">
        <v>21</v>
      </c>
      <c r="W25" s="2"/>
      <c r="X25" s="2"/>
      <c r="Y25" s="2"/>
      <c r="Z25" s="2"/>
    </row>
    <row r="26" spans="1:26" ht="12.75" customHeight="1" x14ac:dyDescent="0.25">
      <c r="A26" s="2" t="s">
        <v>43</v>
      </c>
      <c r="B26" s="9">
        <v>7.3743076324462891</v>
      </c>
      <c r="C26" s="10">
        <v>7</v>
      </c>
      <c r="D26" s="11">
        <v>8.6206898093223572E-2</v>
      </c>
      <c r="E26" s="10">
        <v>7</v>
      </c>
      <c r="F26" s="11">
        <v>0.56190478801727295</v>
      </c>
      <c r="G26" s="11">
        <v>0.8504672646522522</v>
      </c>
      <c r="H26" s="11">
        <v>0.8317757248878479</v>
      </c>
      <c r="I26" s="11">
        <v>0.81308412551879883</v>
      </c>
      <c r="J26" s="11">
        <v>0.75700932741165161</v>
      </c>
      <c r="K26" s="11">
        <v>0.72413790225982666</v>
      </c>
      <c r="L26" s="11">
        <v>0.35064935684204102</v>
      </c>
      <c r="M26" s="11">
        <v>0.33766233921051025</v>
      </c>
      <c r="N26" s="11">
        <v>0.32467532157897949</v>
      </c>
      <c r="O26" s="11">
        <v>0.36363637447357178</v>
      </c>
      <c r="P26" s="11">
        <v>0.35064935684204102</v>
      </c>
      <c r="Q26" s="11">
        <v>0.1320754736661911</v>
      </c>
      <c r="R26" s="11">
        <v>0.16981132328510284</v>
      </c>
      <c r="S26" s="11">
        <v>0.52173912525177002</v>
      </c>
      <c r="T26" s="11">
        <v>9.4339624047279358E-2</v>
      </c>
      <c r="U26" s="11">
        <v>1.8867924809455872E-2</v>
      </c>
      <c r="V26" s="2" t="s">
        <v>21</v>
      </c>
      <c r="W26" s="2"/>
      <c r="X26" s="2"/>
      <c r="Y26" s="2"/>
      <c r="Z26" s="2"/>
    </row>
    <row r="27" spans="1:26" ht="12.75" customHeight="1" x14ac:dyDescent="0.25">
      <c r="A27" s="2" t="s">
        <v>44</v>
      </c>
      <c r="B27" s="9">
        <v>8.2168769836425781</v>
      </c>
      <c r="C27" s="10">
        <v>7</v>
      </c>
      <c r="D27" s="11">
        <v>0</v>
      </c>
      <c r="E27" s="10">
        <v>8</v>
      </c>
      <c r="F27" s="11">
        <v>0.72727274894714355</v>
      </c>
      <c r="G27" s="11">
        <v>0.83333331346511841</v>
      </c>
      <c r="H27" s="11">
        <v>0.91666668653488159</v>
      </c>
      <c r="I27" s="11">
        <v>0.75</v>
      </c>
      <c r="J27" s="11">
        <v>0.83333331346511841</v>
      </c>
      <c r="K27" s="11">
        <v>0.8461538553237915</v>
      </c>
      <c r="L27" s="11">
        <v>0.47368422150611877</v>
      </c>
      <c r="M27" s="11">
        <v>0.47368422150611877</v>
      </c>
      <c r="N27" s="11">
        <v>0.44736841320991516</v>
      </c>
      <c r="O27" s="11">
        <v>0.42105263471603394</v>
      </c>
      <c r="P27" s="11">
        <v>0.42105263471603394</v>
      </c>
      <c r="Q27" s="11">
        <v>8.3333335816860199E-2</v>
      </c>
      <c r="R27" s="11">
        <v>0.1666666716337204</v>
      </c>
      <c r="S27" s="11">
        <v>0.39393940567970276</v>
      </c>
      <c r="T27" s="11">
        <v>8.3333335816860199E-2</v>
      </c>
      <c r="U27" s="11">
        <v>0</v>
      </c>
      <c r="V27" s="2" t="s">
        <v>26</v>
      </c>
      <c r="W27" s="2"/>
      <c r="X27" s="2"/>
      <c r="Y27" s="2"/>
      <c r="Z27" s="2"/>
    </row>
    <row r="28" spans="1:26" ht="12.75" customHeight="1" x14ac:dyDescent="0.25">
      <c r="A28" s="2" t="s">
        <v>45</v>
      </c>
      <c r="B28" s="9">
        <v>8.0579261779785156</v>
      </c>
      <c r="C28" s="10">
        <v>7</v>
      </c>
      <c r="D28" s="11">
        <v>9.5238097012042999E-2</v>
      </c>
      <c r="E28" s="10">
        <v>5</v>
      </c>
      <c r="F28" s="11">
        <v>0.70588237047195435</v>
      </c>
      <c r="G28" s="11">
        <v>0.8888888955116272</v>
      </c>
      <c r="H28" s="11">
        <v>0.8888888955116272</v>
      </c>
      <c r="I28" s="11">
        <v>0.83333331346511841</v>
      </c>
      <c r="J28" s="11">
        <v>0.8888888955116272</v>
      </c>
      <c r="K28" s="11">
        <v>0.61904764175415039</v>
      </c>
      <c r="L28" s="11">
        <v>0.48387095332145691</v>
      </c>
      <c r="M28" s="11">
        <v>0.48387095332145691</v>
      </c>
      <c r="N28" s="11">
        <v>0.48387095332145691</v>
      </c>
      <c r="O28" s="11">
        <v>0.48387095332145691</v>
      </c>
      <c r="P28" s="11">
        <v>0.48387095332145691</v>
      </c>
      <c r="Q28" s="11">
        <v>0.1666666716337204</v>
      </c>
      <c r="R28" s="11">
        <v>0.1875</v>
      </c>
      <c r="S28" s="11">
        <v>0.43333333730697632</v>
      </c>
      <c r="T28" s="11">
        <v>0</v>
      </c>
      <c r="U28" s="11">
        <v>0</v>
      </c>
      <c r="V28" s="2" t="s">
        <v>21</v>
      </c>
      <c r="W28" s="2"/>
      <c r="X28" s="2"/>
      <c r="Y28" s="2"/>
      <c r="Z28" s="2"/>
    </row>
    <row r="29" spans="1:26" ht="12.75" customHeight="1" x14ac:dyDescent="0.25">
      <c r="A29" s="2" t="s">
        <v>46</v>
      </c>
      <c r="B29" s="9">
        <v>8.7193803787231445</v>
      </c>
      <c r="C29" s="10">
        <v>7</v>
      </c>
      <c r="D29" s="11">
        <v>0</v>
      </c>
      <c r="E29" s="10">
        <v>6</v>
      </c>
      <c r="F29" s="11">
        <v>0.78947371244430542</v>
      </c>
      <c r="G29" s="11">
        <v>0.97368419170379639</v>
      </c>
      <c r="H29" s="11">
        <v>1</v>
      </c>
      <c r="I29" s="11">
        <v>0.86842107772827148</v>
      </c>
      <c r="J29" s="11">
        <v>0.89473682641983032</v>
      </c>
      <c r="K29" s="11">
        <v>0.58974361419677734</v>
      </c>
      <c r="L29" s="11">
        <v>0.59459459781646729</v>
      </c>
      <c r="M29" s="11">
        <v>0.62162160873413086</v>
      </c>
      <c r="N29" s="11">
        <v>0.59459459781646729</v>
      </c>
      <c r="O29" s="11">
        <v>0.62162160873413086</v>
      </c>
      <c r="P29" s="11">
        <v>0.56756758689880371</v>
      </c>
      <c r="Q29" s="11">
        <v>0</v>
      </c>
      <c r="R29" s="11">
        <v>0</v>
      </c>
      <c r="S29" s="11">
        <v>0.25714287161827087</v>
      </c>
      <c r="T29" s="11">
        <v>0.10526315867900848</v>
      </c>
      <c r="U29" s="11">
        <v>2.6315789669752121E-2</v>
      </c>
      <c r="V29" s="2" t="s">
        <v>21</v>
      </c>
      <c r="W29" s="2"/>
      <c r="X29" s="2"/>
      <c r="Y29" s="2"/>
      <c r="Z29" s="2"/>
    </row>
    <row r="30" spans="1:26" ht="12.75" customHeight="1" x14ac:dyDescent="0.25">
      <c r="A30" s="2" t="s">
        <v>47</v>
      </c>
      <c r="B30" s="9">
        <v>7.8122110366821289</v>
      </c>
      <c r="C30" s="10">
        <v>14</v>
      </c>
      <c r="D30" s="11">
        <v>9.0909093618392944E-2</v>
      </c>
      <c r="E30" s="10">
        <v>7</v>
      </c>
      <c r="F30" s="11">
        <v>0.63636362552642822</v>
      </c>
      <c r="G30" s="11">
        <v>0.81818181276321411</v>
      </c>
      <c r="H30" s="11">
        <v>0.81818181276321411</v>
      </c>
      <c r="I30" s="11">
        <v>0.81818181276321411</v>
      </c>
      <c r="J30" s="11">
        <v>0.72727274894714355</v>
      </c>
      <c r="K30" s="11">
        <v>0.36363637447357178</v>
      </c>
      <c r="L30" s="11">
        <v>0.63636362552642822</v>
      </c>
      <c r="M30" s="11">
        <v>0.63636362552642822</v>
      </c>
      <c r="N30" s="11">
        <v>0.59090906381607056</v>
      </c>
      <c r="O30" s="11">
        <v>0.59090906381607056</v>
      </c>
      <c r="P30" s="11">
        <v>0.63636362552642822</v>
      </c>
      <c r="Q30" s="11">
        <v>0</v>
      </c>
      <c r="R30" s="11">
        <v>9.0909093618392944E-2</v>
      </c>
      <c r="S30" s="11">
        <v>0.2222222238779068</v>
      </c>
      <c r="T30" s="11">
        <v>0.27272728085517883</v>
      </c>
      <c r="U30" s="11">
        <v>0</v>
      </c>
      <c r="V30" s="2" t="s">
        <v>15</v>
      </c>
      <c r="W30" s="2"/>
      <c r="X30" s="2"/>
      <c r="Y30" s="2"/>
      <c r="Z30" s="2"/>
    </row>
    <row r="31" spans="1:26" ht="12.75" customHeight="1" x14ac:dyDescent="0.25">
      <c r="A31" s="2" t="s">
        <v>48</v>
      </c>
      <c r="B31" s="9">
        <v>7.2750954627990723</v>
      </c>
      <c r="C31" s="10">
        <v>9</v>
      </c>
      <c r="D31" s="11">
        <v>0.125</v>
      </c>
      <c r="E31" s="10">
        <v>6.5</v>
      </c>
      <c r="F31" s="11">
        <v>0.5</v>
      </c>
      <c r="G31" s="11">
        <v>0.92857140302658081</v>
      </c>
      <c r="H31" s="11">
        <v>0.8571428656578064</v>
      </c>
      <c r="I31" s="11">
        <v>0.8571428656578064</v>
      </c>
      <c r="J31" s="11">
        <v>0.8571428656578064</v>
      </c>
      <c r="K31" s="11">
        <v>0.375</v>
      </c>
      <c r="L31" s="11">
        <v>0.43999999761581421</v>
      </c>
      <c r="M31" s="11">
        <v>0.40000000596046448</v>
      </c>
      <c r="N31" s="11">
        <v>0.43999999761581421</v>
      </c>
      <c r="O31" s="11">
        <v>0.40000000596046448</v>
      </c>
      <c r="P31" s="11">
        <v>0.43999999761581421</v>
      </c>
      <c r="Q31" s="11">
        <v>0.2142857164144516</v>
      </c>
      <c r="R31" s="11">
        <v>0.1428571492433548</v>
      </c>
      <c r="S31" s="11">
        <v>0.4285714328289032</v>
      </c>
      <c r="T31" s="11">
        <v>7.1428574621677399E-2</v>
      </c>
      <c r="U31" s="11">
        <v>0</v>
      </c>
      <c r="V31" s="2" t="s">
        <v>18</v>
      </c>
      <c r="W31" s="2"/>
      <c r="X31" s="2"/>
      <c r="Y31" s="2"/>
      <c r="Z31" s="2"/>
    </row>
    <row r="32" spans="1:26" ht="12.75" customHeight="1" x14ac:dyDescent="0.25">
      <c r="A32" s="2" t="s">
        <v>49</v>
      </c>
      <c r="B32" s="9">
        <v>7.4790287017822266</v>
      </c>
      <c r="C32" s="10">
        <v>7</v>
      </c>
      <c r="D32" s="11">
        <v>0</v>
      </c>
      <c r="E32" s="10">
        <v>7.5</v>
      </c>
      <c r="F32" s="11">
        <v>0.54545456171035767</v>
      </c>
      <c r="G32" s="11">
        <v>1</v>
      </c>
      <c r="H32" s="11">
        <v>0.90909093618392944</v>
      </c>
      <c r="I32" s="11">
        <v>1</v>
      </c>
      <c r="J32" s="11">
        <v>1</v>
      </c>
      <c r="K32" s="11">
        <v>0.5625</v>
      </c>
      <c r="L32" s="11">
        <v>0.3333333432674408</v>
      </c>
      <c r="M32" s="11">
        <v>0.3333333432674408</v>
      </c>
      <c r="N32" s="11">
        <v>0.27777779102325439</v>
      </c>
      <c r="O32" s="11">
        <v>0.27777779102325439</v>
      </c>
      <c r="P32" s="11">
        <v>0.2222222238779068</v>
      </c>
      <c r="Q32" s="11">
        <v>0</v>
      </c>
      <c r="R32" s="11">
        <v>0</v>
      </c>
      <c r="S32" s="11">
        <v>0.46666666865348816</v>
      </c>
      <c r="T32" s="11">
        <v>0.18181818723678589</v>
      </c>
      <c r="U32" s="11">
        <v>0</v>
      </c>
      <c r="V32" s="2" t="s">
        <v>21</v>
      </c>
      <c r="W32" s="2"/>
      <c r="X32" s="2"/>
      <c r="Y32" s="2"/>
      <c r="Z32" s="2"/>
    </row>
    <row r="33" spans="1:26" ht="12.75" customHeight="1" x14ac:dyDescent="0.25">
      <c r="A33" s="2" t="s">
        <v>50</v>
      </c>
      <c r="B33" s="9">
        <v>8.1045913696289063</v>
      </c>
      <c r="C33" s="10">
        <v>13</v>
      </c>
      <c r="D33" s="11">
        <v>0.13333334028720856</v>
      </c>
      <c r="E33" s="10">
        <v>5</v>
      </c>
      <c r="F33" s="11">
        <v>0.57692307233810425</v>
      </c>
      <c r="G33" s="11">
        <v>0.88461536169052124</v>
      </c>
      <c r="H33" s="11">
        <v>0.88461536169052124</v>
      </c>
      <c r="I33" s="11">
        <v>1</v>
      </c>
      <c r="J33" s="11">
        <v>0.88461536169052124</v>
      </c>
      <c r="K33" s="11">
        <v>0.69999998807907104</v>
      </c>
      <c r="L33" s="11">
        <v>0.60000002384185791</v>
      </c>
      <c r="M33" s="11">
        <v>0.54285717010498047</v>
      </c>
      <c r="N33" s="11">
        <v>0.60000002384185791</v>
      </c>
      <c r="O33" s="11">
        <v>0.60000002384185791</v>
      </c>
      <c r="P33" s="11">
        <v>0.57142859697341919</v>
      </c>
      <c r="Q33" s="11">
        <v>7.6923079788684845E-2</v>
      </c>
      <c r="R33" s="11">
        <v>0.11538461595773697</v>
      </c>
      <c r="S33" s="11">
        <v>0.30303031206130981</v>
      </c>
      <c r="T33" s="11">
        <v>0.19230769574642181</v>
      </c>
      <c r="U33" s="11">
        <v>0</v>
      </c>
      <c r="V33" s="2" t="s">
        <v>26</v>
      </c>
      <c r="W33" s="2"/>
      <c r="X33" s="2"/>
      <c r="Y33" s="2"/>
      <c r="Z33" s="2"/>
    </row>
    <row r="34" spans="1:26" ht="12.75" customHeight="1" x14ac:dyDescent="0.25">
      <c r="A34" s="2" t="s">
        <v>51</v>
      </c>
      <c r="B34" s="9">
        <v>5.9006872177124023</v>
      </c>
      <c r="C34" s="10">
        <v>10</v>
      </c>
      <c r="D34" s="11">
        <v>0.40000000596046448</v>
      </c>
      <c r="E34" s="10">
        <v>6</v>
      </c>
      <c r="F34" s="11">
        <v>0.71428573131561279</v>
      </c>
      <c r="G34" s="11">
        <v>0.75</v>
      </c>
      <c r="H34" s="11">
        <v>1</v>
      </c>
      <c r="I34" s="11">
        <v>0.75</v>
      </c>
      <c r="J34" s="11">
        <v>0.25</v>
      </c>
      <c r="K34" s="11">
        <v>0.80000001192092896</v>
      </c>
      <c r="L34" s="11">
        <v>0.21153846383094788</v>
      </c>
      <c r="M34" s="11">
        <v>0.23076923191547394</v>
      </c>
      <c r="N34" s="11">
        <v>0.23076923191547394</v>
      </c>
      <c r="O34" s="11">
        <v>0.21153846383094788</v>
      </c>
      <c r="P34" s="11">
        <v>0.21153846383094788</v>
      </c>
      <c r="Q34" s="11">
        <v>0.75</v>
      </c>
      <c r="R34" s="11">
        <v>0.75</v>
      </c>
      <c r="S34" s="11">
        <v>0.74000000953674316</v>
      </c>
      <c r="T34" s="11">
        <v>0.125</v>
      </c>
      <c r="U34" s="11">
        <v>0</v>
      </c>
      <c r="V34" s="2" t="s">
        <v>15</v>
      </c>
      <c r="W34" s="2"/>
      <c r="X34" s="2"/>
      <c r="Y34" s="2"/>
      <c r="Z34" s="2"/>
    </row>
    <row r="35" spans="1:26" ht="12.75" customHeight="1" x14ac:dyDescent="0.25">
      <c r="A35" s="2" t="s">
        <v>52</v>
      </c>
      <c r="B35" s="9">
        <v>8.2589282989501953</v>
      </c>
      <c r="C35" s="10">
        <v>7</v>
      </c>
      <c r="D35" s="11">
        <v>0</v>
      </c>
      <c r="E35" s="10">
        <v>7</v>
      </c>
      <c r="F35" s="11">
        <v>0.40000000596046448</v>
      </c>
      <c r="G35" s="11">
        <v>0.93333333730697632</v>
      </c>
      <c r="H35" s="11">
        <v>1</v>
      </c>
      <c r="I35" s="11">
        <v>0.93333333730697632</v>
      </c>
      <c r="J35" s="11">
        <v>0.93333333730697632</v>
      </c>
      <c r="K35" s="11">
        <v>0.93333333730697632</v>
      </c>
      <c r="L35" s="11">
        <v>0.58333331346511841</v>
      </c>
      <c r="M35" s="11">
        <v>0.54166668653488159</v>
      </c>
      <c r="N35" s="11">
        <v>0.58333331346511841</v>
      </c>
      <c r="O35" s="11">
        <v>0.58333331346511841</v>
      </c>
      <c r="P35" s="11">
        <v>0.58333331346511841</v>
      </c>
      <c r="Q35" s="11">
        <v>0.3333333432674408</v>
      </c>
      <c r="R35" s="11">
        <v>6.6666670143604279E-2</v>
      </c>
      <c r="S35" s="11">
        <v>0.26086956262588501</v>
      </c>
      <c r="T35" s="11">
        <v>0.26666668057441711</v>
      </c>
      <c r="U35" s="11">
        <v>6.6666670143604279E-2</v>
      </c>
      <c r="V35" s="2" t="s">
        <v>35</v>
      </c>
      <c r="W35" s="2"/>
      <c r="X35" s="2"/>
      <c r="Y35" s="2"/>
      <c r="Z35" s="2"/>
    </row>
    <row r="36" spans="1:26" ht="12.75" customHeight="1" x14ac:dyDescent="0.25">
      <c r="A36" s="2" t="s">
        <v>53</v>
      </c>
      <c r="B36" s="9">
        <v>7.6808509826660156</v>
      </c>
      <c r="C36" s="10">
        <v>7</v>
      </c>
      <c r="D36" s="11">
        <v>0</v>
      </c>
      <c r="E36" s="10">
        <v>6</v>
      </c>
      <c r="F36" s="11">
        <v>0.55555558204650879</v>
      </c>
      <c r="G36" s="11">
        <v>1</v>
      </c>
      <c r="H36" s="11">
        <v>1</v>
      </c>
      <c r="I36" s="11">
        <v>0.80000001192092896</v>
      </c>
      <c r="J36" s="11">
        <v>0.89999997615814209</v>
      </c>
      <c r="K36" s="11">
        <v>0.53846156597137451</v>
      </c>
      <c r="L36" s="11">
        <v>0.38461539149284363</v>
      </c>
      <c r="M36" s="11">
        <v>0.35897436738014221</v>
      </c>
      <c r="N36" s="11">
        <v>0.35897436738014221</v>
      </c>
      <c r="O36" s="11">
        <v>0.35897436738014221</v>
      </c>
      <c r="P36" s="11">
        <v>0.35897436738014221</v>
      </c>
      <c r="Q36" s="11">
        <v>0.18181818723678589</v>
      </c>
      <c r="R36" s="11">
        <v>0.27272728085517883</v>
      </c>
      <c r="S36" s="11">
        <v>0.5</v>
      </c>
      <c r="T36" s="11">
        <v>0</v>
      </c>
      <c r="U36" s="11">
        <v>0</v>
      </c>
      <c r="V36" s="2" t="s">
        <v>18</v>
      </c>
      <c r="W36" s="2"/>
      <c r="X36" s="2"/>
      <c r="Y36" s="2"/>
      <c r="Z36" s="2"/>
    </row>
    <row r="37" spans="1:26" ht="12.75" customHeight="1" x14ac:dyDescent="0.25">
      <c r="A37" s="2" t="s">
        <v>56</v>
      </c>
      <c r="B37" s="9">
        <v>6.738039493560791</v>
      </c>
      <c r="C37" s="10">
        <v>7</v>
      </c>
      <c r="D37" s="11">
        <v>0.20000000298023224</v>
      </c>
      <c r="E37" s="10">
        <v>6</v>
      </c>
      <c r="F37" s="11">
        <v>0.45454546809196472</v>
      </c>
      <c r="G37" s="11">
        <v>0.75</v>
      </c>
      <c r="H37" s="11">
        <v>0.91666668653488159</v>
      </c>
      <c r="I37" s="11">
        <v>0.91666668653488159</v>
      </c>
      <c r="J37" s="11">
        <v>0.91666668653488159</v>
      </c>
      <c r="K37" s="11">
        <v>0.60000002384185791</v>
      </c>
      <c r="L37" s="11">
        <v>0.28260868787765503</v>
      </c>
      <c r="M37" s="11">
        <v>0.28260868787765503</v>
      </c>
      <c r="N37" s="11">
        <v>0.26086956262588501</v>
      </c>
      <c r="O37" s="11">
        <v>0.26086956262588501</v>
      </c>
      <c r="P37" s="11">
        <v>0.23913043737411499</v>
      </c>
      <c r="Q37" s="11">
        <v>8.3333335816860199E-2</v>
      </c>
      <c r="R37" s="11">
        <v>0.36363637447357178</v>
      </c>
      <c r="S37" s="11">
        <v>0.64102566242218018</v>
      </c>
      <c r="T37" s="11">
        <v>8.3333335816860199E-2</v>
      </c>
      <c r="U37" s="11">
        <v>0</v>
      </c>
      <c r="V37" s="2" t="s">
        <v>35</v>
      </c>
      <c r="W37" s="2"/>
      <c r="X37" s="2"/>
      <c r="Y37" s="2"/>
      <c r="Z37" s="2"/>
    </row>
    <row r="38" spans="1:26" ht="12.75" customHeight="1" x14ac:dyDescent="0.25">
      <c r="A38" s="2" t="s">
        <v>54</v>
      </c>
      <c r="B38" s="9">
        <v>8.4168062210083008</v>
      </c>
      <c r="C38" s="10">
        <v>7</v>
      </c>
      <c r="D38" s="11">
        <v>0.19230769574642181</v>
      </c>
      <c r="E38" s="10">
        <v>5.5</v>
      </c>
      <c r="F38" s="11">
        <v>0.65217393636703491</v>
      </c>
      <c r="G38" s="11">
        <v>0.8399999737739563</v>
      </c>
      <c r="H38" s="11">
        <v>0.95999997854232788</v>
      </c>
      <c r="I38" s="11">
        <v>0.95999997854232788</v>
      </c>
      <c r="J38" s="11">
        <v>0.92000001668930054</v>
      </c>
      <c r="K38" s="11">
        <v>0.69230771064758301</v>
      </c>
      <c r="L38" s="11">
        <v>0.67741936445236206</v>
      </c>
      <c r="M38" s="11">
        <v>0.64516127109527588</v>
      </c>
      <c r="N38" s="11">
        <v>0.61290323734283447</v>
      </c>
      <c r="O38" s="11">
        <v>0.54838711023330688</v>
      </c>
      <c r="P38" s="11">
        <v>0.61290323734283447</v>
      </c>
      <c r="Q38" s="11">
        <v>4.1666667908430099E-2</v>
      </c>
      <c r="R38" s="11">
        <v>4.1666667908430099E-2</v>
      </c>
      <c r="S38" s="11">
        <v>0.23076923191547394</v>
      </c>
      <c r="T38" s="11">
        <v>4.1666667908430099E-2</v>
      </c>
      <c r="U38" s="11">
        <v>0</v>
      </c>
      <c r="V38" s="2" t="s">
        <v>18</v>
      </c>
      <c r="W38" s="2"/>
      <c r="X38" s="2"/>
      <c r="Y38" s="2"/>
      <c r="Z38" s="2"/>
    </row>
    <row r="39" spans="1:26" ht="12.75" customHeight="1" x14ac:dyDescent="0.25">
      <c r="A39" s="2" t="s">
        <v>55</v>
      </c>
      <c r="B39" s="9">
        <v>7.7207727432250977</v>
      </c>
      <c r="C39" s="10">
        <v>8</v>
      </c>
      <c r="D39" s="11">
        <v>0.15384615957736969</v>
      </c>
      <c r="E39" s="10">
        <v>7</v>
      </c>
      <c r="F39" s="11">
        <v>0.61904764175415039</v>
      </c>
      <c r="G39" s="11">
        <v>1</v>
      </c>
      <c r="H39" s="11">
        <v>0.86363637447357178</v>
      </c>
      <c r="I39" s="11">
        <v>0.86363637447357178</v>
      </c>
      <c r="J39" s="11">
        <v>0.86363637447357178</v>
      </c>
      <c r="K39" s="11">
        <v>0.6538461446762085</v>
      </c>
      <c r="L39" s="11">
        <v>0.47222220897674561</v>
      </c>
      <c r="M39" s="11">
        <v>0.4166666567325592</v>
      </c>
      <c r="N39" s="11">
        <v>0.4444444477558136</v>
      </c>
      <c r="O39" s="11">
        <v>0.4444444477558136</v>
      </c>
      <c r="P39" s="11">
        <v>0.4444444477558136</v>
      </c>
      <c r="Q39" s="11">
        <v>4.76190485060215E-2</v>
      </c>
      <c r="R39" s="11">
        <v>4.76190485060215E-2</v>
      </c>
      <c r="S39" s="11">
        <v>0.48571428656578064</v>
      </c>
      <c r="T39" s="11">
        <v>9.0909093618392944E-2</v>
      </c>
      <c r="U39" s="11">
        <v>0</v>
      </c>
      <c r="V39" s="2" t="s">
        <v>18</v>
      </c>
      <c r="W39" s="2"/>
      <c r="X39" s="2"/>
      <c r="Y39" s="2"/>
      <c r="Z39" s="2"/>
    </row>
    <row r="40" spans="1:26" ht="12.75" customHeight="1" x14ac:dyDescent="0.25">
      <c r="A40" s="2" t="s">
        <v>57</v>
      </c>
      <c r="B40" s="9">
        <v>7.0892577171325684</v>
      </c>
      <c r="C40" s="10">
        <v>12</v>
      </c>
      <c r="D40" s="11">
        <v>5.2631579339504242E-2</v>
      </c>
      <c r="E40" s="10">
        <v>7</v>
      </c>
      <c r="F40" s="11">
        <v>0.63157892227172852</v>
      </c>
      <c r="G40" s="11">
        <v>0.89473682641983032</v>
      </c>
      <c r="H40" s="11">
        <v>0.68421053886413574</v>
      </c>
      <c r="I40" s="11">
        <v>0.68421053886413574</v>
      </c>
      <c r="J40" s="11">
        <v>0.78947371244430542</v>
      </c>
      <c r="K40" s="11">
        <v>0.63157892227172852</v>
      </c>
      <c r="L40" s="11">
        <v>0.34999999403953552</v>
      </c>
      <c r="M40" s="11">
        <v>0.34999999403953552</v>
      </c>
      <c r="N40" s="11">
        <v>0.375</v>
      </c>
      <c r="O40" s="11">
        <v>0.34999999403953552</v>
      </c>
      <c r="P40" s="11">
        <v>0.34999999403953552</v>
      </c>
      <c r="Q40" s="11">
        <v>0.21052631735801697</v>
      </c>
      <c r="R40" s="11">
        <v>0.1666666716337204</v>
      </c>
      <c r="S40" s="11">
        <v>0.45714285969734192</v>
      </c>
      <c r="T40" s="11">
        <v>0.26315790414810181</v>
      </c>
      <c r="U40" s="11">
        <v>5.2631579339504242E-2</v>
      </c>
      <c r="V40" s="2" t="s">
        <v>15</v>
      </c>
      <c r="W40" s="2"/>
      <c r="X40" s="2"/>
      <c r="Y40" s="2"/>
      <c r="Z40" s="2"/>
    </row>
    <row r="41" spans="1:26" ht="12.75" customHeight="1" x14ac:dyDescent="0.25">
      <c r="A41" s="2" t="s">
        <v>58</v>
      </c>
      <c r="B41" s="9">
        <v>6.9591031074523926</v>
      </c>
      <c r="C41" s="10">
        <v>12.5</v>
      </c>
      <c r="D41" s="11">
        <v>7.6923079788684845E-2</v>
      </c>
      <c r="E41" s="10">
        <v>7</v>
      </c>
      <c r="F41" s="11">
        <v>0.40000000596046448</v>
      </c>
      <c r="G41" s="11">
        <v>1</v>
      </c>
      <c r="H41" s="11">
        <v>0.89999997615814209</v>
      </c>
      <c r="I41" s="11">
        <v>0.89999997615814209</v>
      </c>
      <c r="J41" s="11">
        <v>0.69999998807907104</v>
      </c>
      <c r="K41" s="11">
        <v>0.53846156597137451</v>
      </c>
      <c r="L41" s="11">
        <v>0.36363637447357178</v>
      </c>
      <c r="M41" s="11">
        <v>0.39393940567970276</v>
      </c>
      <c r="N41" s="11">
        <v>0.39393940567970276</v>
      </c>
      <c r="O41" s="11">
        <v>0.36363637447357178</v>
      </c>
      <c r="P41" s="11">
        <v>0.36363637447357178</v>
      </c>
      <c r="Q41" s="11">
        <v>0.10000000149011612</v>
      </c>
      <c r="R41" s="11">
        <v>0</v>
      </c>
      <c r="S41" s="11">
        <v>0.58064514398574829</v>
      </c>
      <c r="T41" s="11">
        <v>0.20000000298023224</v>
      </c>
      <c r="U41" s="11">
        <v>0.10000000149011612</v>
      </c>
      <c r="V41" s="2" t="s">
        <v>21</v>
      </c>
      <c r="W41" s="2"/>
      <c r="X41" s="2"/>
      <c r="Y41" s="2"/>
      <c r="Z41" s="2"/>
    </row>
    <row r="42" spans="1:26" ht="12.75" customHeight="1" x14ac:dyDescent="0.25">
      <c r="A42" s="2" t="s">
        <v>59</v>
      </c>
      <c r="B42" s="9">
        <v>7.9222879409790039</v>
      </c>
      <c r="C42" s="10">
        <v>7</v>
      </c>
      <c r="D42" s="11">
        <v>2.9411764815449715E-2</v>
      </c>
      <c r="E42" s="10">
        <v>5</v>
      </c>
      <c r="F42" s="11">
        <v>0.25</v>
      </c>
      <c r="G42" s="11">
        <v>1</v>
      </c>
      <c r="H42" s="11">
        <v>0.9375</v>
      </c>
      <c r="I42" s="11">
        <v>0.96875</v>
      </c>
      <c r="J42" s="11">
        <v>0.875</v>
      </c>
      <c r="K42" s="11">
        <v>0.82352942228317261</v>
      </c>
      <c r="L42" s="11">
        <v>0.46341463923454285</v>
      </c>
      <c r="M42" s="11">
        <v>0.43902438879013062</v>
      </c>
      <c r="N42" s="11">
        <v>0.46341463923454285</v>
      </c>
      <c r="O42" s="11">
        <v>0.46341463923454285</v>
      </c>
      <c r="P42" s="11">
        <v>0.46341463923454285</v>
      </c>
      <c r="Q42" s="11">
        <v>0.5625</v>
      </c>
      <c r="R42" s="11">
        <v>6.25E-2</v>
      </c>
      <c r="S42" s="11">
        <v>0.42500001192092896</v>
      </c>
      <c r="T42" s="11">
        <v>0</v>
      </c>
      <c r="U42" s="11">
        <v>0</v>
      </c>
      <c r="V42" s="2" t="s">
        <v>26</v>
      </c>
      <c r="W42" s="2"/>
      <c r="X42" s="2"/>
      <c r="Y42" s="2"/>
      <c r="Z42" s="2"/>
    </row>
    <row r="43" spans="1:26" ht="12.75" customHeight="1" x14ac:dyDescent="0.25">
      <c r="A43" s="2" t="s">
        <v>60</v>
      </c>
      <c r="B43" s="9">
        <v>8.1380205154418945</v>
      </c>
      <c r="C43" s="10">
        <v>7</v>
      </c>
      <c r="D43" s="11">
        <v>3.2258063554763794E-2</v>
      </c>
      <c r="E43" s="10">
        <v>7</v>
      </c>
      <c r="F43" s="11">
        <v>0.6538461446762085</v>
      </c>
      <c r="G43" s="11">
        <v>0.96153843402862549</v>
      </c>
      <c r="H43" s="11">
        <v>0.96153843402862549</v>
      </c>
      <c r="I43" s="11">
        <v>0.88461536169052124</v>
      </c>
      <c r="J43" s="11">
        <v>0.88461536169052124</v>
      </c>
      <c r="K43" s="11">
        <v>0.74193549156188965</v>
      </c>
      <c r="L43" s="11">
        <v>0.46428570151329041</v>
      </c>
      <c r="M43" s="11">
        <v>0.4285714328289032</v>
      </c>
      <c r="N43" s="11">
        <v>0.4285714328289032</v>
      </c>
      <c r="O43" s="11">
        <v>0.3928571343421936</v>
      </c>
      <c r="P43" s="11">
        <v>0.46428570151329041</v>
      </c>
      <c r="Q43" s="11">
        <v>0</v>
      </c>
      <c r="R43" s="11">
        <v>0</v>
      </c>
      <c r="S43" s="11">
        <v>0.40000000596046448</v>
      </c>
      <c r="T43" s="11">
        <v>0.11538461595773697</v>
      </c>
      <c r="U43" s="11">
        <v>0</v>
      </c>
      <c r="V43" s="2" t="s">
        <v>21</v>
      </c>
      <c r="W43" s="2"/>
      <c r="X43" s="2"/>
      <c r="Y43" s="2"/>
      <c r="Z43" s="2"/>
    </row>
    <row r="44" spans="1:26" ht="12.75" customHeight="1" x14ac:dyDescent="0.25">
      <c r="A44" s="2" t="s">
        <v>61</v>
      </c>
      <c r="B44" s="9">
        <v>7.2524619102478027</v>
      </c>
      <c r="C44" s="10">
        <v>7</v>
      </c>
      <c r="D44" s="11">
        <v>0</v>
      </c>
      <c r="E44" s="10">
        <v>8</v>
      </c>
      <c r="F44" s="11">
        <v>0.55555558204650879</v>
      </c>
      <c r="G44" s="11">
        <v>1</v>
      </c>
      <c r="H44" s="11">
        <v>1</v>
      </c>
      <c r="I44" s="11">
        <v>0.8888888955116272</v>
      </c>
      <c r="J44" s="11">
        <v>1</v>
      </c>
      <c r="K44" s="11">
        <v>0.77777779102325439</v>
      </c>
      <c r="L44" s="11">
        <v>0.15094339847564697</v>
      </c>
      <c r="M44" s="11">
        <v>0.11320754885673523</v>
      </c>
      <c r="N44" s="11">
        <v>0.1320754736661911</v>
      </c>
      <c r="O44" s="11">
        <v>0.15094339847564697</v>
      </c>
      <c r="P44" s="11">
        <v>0.15094339847564697</v>
      </c>
      <c r="Q44" s="11">
        <v>0</v>
      </c>
      <c r="R44" s="11">
        <v>0.1111111119389534</v>
      </c>
      <c r="S44" s="11">
        <v>0.81999999284744263</v>
      </c>
      <c r="T44" s="11">
        <v>0</v>
      </c>
      <c r="U44" s="11">
        <v>0</v>
      </c>
      <c r="V44" s="2" t="s">
        <v>26</v>
      </c>
      <c r="W44" s="2"/>
      <c r="X44" s="2"/>
      <c r="Y44" s="2"/>
      <c r="Z44" s="2"/>
    </row>
    <row r="45" spans="1:26" ht="12.75" customHeight="1" x14ac:dyDescent="0.25">
      <c r="A45" s="2" t="s">
        <v>62</v>
      </c>
      <c r="B45" s="9">
        <v>7.7577400207519531</v>
      </c>
      <c r="C45" s="10">
        <v>7</v>
      </c>
      <c r="D45" s="11">
        <v>6.6666670143604279E-2</v>
      </c>
      <c r="E45" s="10">
        <v>4</v>
      </c>
      <c r="F45" s="11">
        <v>0.72727274894714355</v>
      </c>
      <c r="G45" s="11">
        <v>1</v>
      </c>
      <c r="H45" s="11">
        <v>0.81818181276321411</v>
      </c>
      <c r="I45" s="11">
        <v>0.72727274894714355</v>
      </c>
      <c r="J45" s="11">
        <v>0.54545456171035767</v>
      </c>
      <c r="K45" s="11">
        <v>0.60000002384185791</v>
      </c>
      <c r="L45" s="11">
        <v>0.4166666567325592</v>
      </c>
      <c r="M45" s="11">
        <v>0.375</v>
      </c>
      <c r="N45" s="11">
        <v>0.4166666567325592</v>
      </c>
      <c r="O45" s="11">
        <v>0.4166666567325592</v>
      </c>
      <c r="P45" s="11">
        <v>0.375</v>
      </c>
      <c r="Q45" s="11">
        <v>9.0909093618392944E-2</v>
      </c>
      <c r="R45" s="11">
        <v>9.0909093618392944E-2</v>
      </c>
      <c r="S45" s="11">
        <v>0.39130434393882751</v>
      </c>
      <c r="T45" s="11">
        <v>9.0909093618392944E-2</v>
      </c>
      <c r="U45" s="11">
        <v>0</v>
      </c>
      <c r="V45" s="2" t="s">
        <v>18</v>
      </c>
      <c r="W45" s="2"/>
      <c r="X45" s="2"/>
      <c r="Y45" s="2"/>
      <c r="Z45" s="2"/>
    </row>
    <row r="46" spans="1:26" ht="12.75" customHeight="1" x14ac:dyDescent="0.25">
      <c r="A46" s="2" t="s">
        <v>63</v>
      </c>
      <c r="B46" s="9">
        <v>7.8903522491455078</v>
      </c>
      <c r="C46" s="10">
        <v>5</v>
      </c>
      <c r="D46" s="11">
        <v>0</v>
      </c>
      <c r="E46" s="10">
        <v>4</v>
      </c>
      <c r="F46" s="11">
        <v>0.77777779102325439</v>
      </c>
      <c r="G46" s="11">
        <v>0.66666668653488159</v>
      </c>
      <c r="H46" s="11">
        <v>0.66666668653488159</v>
      </c>
      <c r="I46" s="11">
        <v>0.8888888955116272</v>
      </c>
      <c r="J46" s="11">
        <v>0.8888888955116272</v>
      </c>
      <c r="K46" s="11">
        <v>0.63636362552642822</v>
      </c>
      <c r="L46" s="11">
        <v>0.36666667461395264</v>
      </c>
      <c r="M46" s="11">
        <v>0.3333333432674408</v>
      </c>
      <c r="N46" s="11">
        <v>0.36666667461395264</v>
      </c>
      <c r="O46" s="11">
        <v>0.36666667461395264</v>
      </c>
      <c r="P46" s="11">
        <v>0.36666667461395264</v>
      </c>
      <c r="Q46" s="11">
        <v>0</v>
      </c>
      <c r="R46" s="11">
        <v>0</v>
      </c>
      <c r="S46" s="11">
        <v>0.51851850748062134</v>
      </c>
      <c r="T46" s="11">
        <v>0.1111111119389534</v>
      </c>
      <c r="U46" s="11">
        <v>0</v>
      </c>
      <c r="V46" s="2" t="s">
        <v>26</v>
      </c>
      <c r="W46" s="2"/>
      <c r="X46" s="2"/>
      <c r="Y46" s="2"/>
      <c r="Z46" s="2"/>
    </row>
    <row r="47" spans="1:26" ht="12.75" customHeight="1" x14ac:dyDescent="0.25">
      <c r="A47" s="2" t="s">
        <v>64</v>
      </c>
      <c r="B47" s="9">
        <v>8.0701389312744141</v>
      </c>
      <c r="C47" s="10">
        <v>7</v>
      </c>
      <c r="D47" s="11">
        <v>2.380952425301075E-2</v>
      </c>
      <c r="E47" s="10">
        <v>6</v>
      </c>
      <c r="F47" s="11">
        <v>0.1315789520740509</v>
      </c>
      <c r="G47" s="11">
        <v>1</v>
      </c>
      <c r="H47" s="11">
        <v>0.97368419170379639</v>
      </c>
      <c r="I47" s="11">
        <v>0.94736844301223755</v>
      </c>
      <c r="J47" s="11">
        <v>0.89473682641983032</v>
      </c>
      <c r="K47" s="11">
        <v>0.6904761791229248</v>
      </c>
      <c r="L47" s="11">
        <v>0.6111111044883728</v>
      </c>
      <c r="M47" s="11">
        <v>0.6111111044883728</v>
      </c>
      <c r="N47" s="11">
        <v>0.6111111044883728</v>
      </c>
      <c r="O47" s="11">
        <v>0.58333331346511841</v>
      </c>
      <c r="P47" s="11">
        <v>0.58333331346511841</v>
      </c>
      <c r="Q47" s="11">
        <v>0.65789473056793213</v>
      </c>
      <c r="R47" s="11">
        <v>0.10526315867900848</v>
      </c>
      <c r="S47" s="11">
        <v>0.3611111044883728</v>
      </c>
      <c r="T47" s="11">
        <v>2.6315789669752121E-2</v>
      </c>
      <c r="U47" s="11">
        <v>0</v>
      </c>
      <c r="V47" s="2" t="s">
        <v>26</v>
      </c>
      <c r="W47" s="2"/>
      <c r="X47" s="2"/>
      <c r="Y47" s="2"/>
      <c r="Z47" s="2"/>
    </row>
    <row r="48" spans="1:26" ht="12.75" customHeight="1" x14ac:dyDescent="0.25">
      <c r="A48" s="2" t="s">
        <v>65</v>
      </c>
      <c r="B48" s="9">
        <v>7.7689027786254883</v>
      </c>
      <c r="C48" s="10">
        <v>10</v>
      </c>
      <c r="D48" s="11">
        <v>6.6666670143604279E-2</v>
      </c>
      <c r="E48" s="10">
        <v>3</v>
      </c>
      <c r="F48" s="11">
        <v>0.45454546809196472</v>
      </c>
      <c r="G48" s="11">
        <v>0.91666668653488159</v>
      </c>
      <c r="H48" s="11">
        <v>1</v>
      </c>
      <c r="I48" s="11">
        <v>1</v>
      </c>
      <c r="J48" s="11">
        <v>0.83333331346511841</v>
      </c>
      <c r="K48" s="11">
        <v>0.60000002384185791</v>
      </c>
      <c r="L48" s="11">
        <v>0.40000000596046448</v>
      </c>
      <c r="M48" s="11">
        <v>0.40000000596046448</v>
      </c>
      <c r="N48" s="11">
        <v>0.40000000596046448</v>
      </c>
      <c r="O48" s="11">
        <v>0.37999999523162842</v>
      </c>
      <c r="P48" s="11">
        <v>0.40000000596046448</v>
      </c>
      <c r="Q48" s="11">
        <v>0</v>
      </c>
      <c r="R48" s="11">
        <v>0</v>
      </c>
      <c r="S48" s="11">
        <v>0.58333331346511841</v>
      </c>
      <c r="T48" s="11">
        <v>0</v>
      </c>
      <c r="U48" s="11">
        <v>0</v>
      </c>
      <c r="V48" s="2" t="s">
        <v>26</v>
      </c>
      <c r="W48" s="2"/>
      <c r="X48" s="2"/>
      <c r="Y48" s="2"/>
      <c r="Z48" s="2"/>
    </row>
    <row r="49" spans="1:26" ht="12.75" customHeight="1" x14ac:dyDescent="0.25">
      <c r="A49" s="2" t="s">
        <v>66</v>
      </c>
      <c r="B49" s="9">
        <v>8.3378391265869141</v>
      </c>
      <c r="C49" s="10">
        <v>6</v>
      </c>
      <c r="D49" s="11">
        <v>9.0909093618392944E-2</v>
      </c>
      <c r="E49" s="10">
        <v>4</v>
      </c>
      <c r="F49" s="11">
        <v>0.66666668653488159</v>
      </c>
      <c r="G49" s="11">
        <v>0.8888888955116272</v>
      </c>
      <c r="H49" s="11">
        <v>0.8888888955116272</v>
      </c>
      <c r="I49" s="11">
        <v>0.8888888955116272</v>
      </c>
      <c r="J49" s="11">
        <v>0.8888888955116272</v>
      </c>
      <c r="K49" s="11">
        <v>0.63636362552642822</v>
      </c>
      <c r="L49" s="11">
        <v>0.62962961196899414</v>
      </c>
      <c r="M49" s="11">
        <v>0.62962961196899414</v>
      </c>
      <c r="N49" s="11">
        <v>0.62962961196899414</v>
      </c>
      <c r="O49" s="11">
        <v>0.55555558204650879</v>
      </c>
      <c r="P49" s="11">
        <v>0.51851850748062134</v>
      </c>
      <c r="Q49" s="11">
        <v>0.1111111119389534</v>
      </c>
      <c r="R49" s="11">
        <v>0</v>
      </c>
      <c r="S49" s="11">
        <v>0.31999999284744263</v>
      </c>
      <c r="T49" s="11">
        <v>0.2222222238779068</v>
      </c>
      <c r="U49" s="11">
        <v>0</v>
      </c>
      <c r="V49" s="2" t="s">
        <v>26</v>
      </c>
      <c r="W49" s="2"/>
      <c r="X49" s="2"/>
      <c r="Y49" s="2"/>
      <c r="Z49" s="2"/>
    </row>
    <row r="50" spans="1:26" ht="12.75" customHeight="1" x14ac:dyDescent="0.25">
      <c r="A50" s="2" t="s">
        <v>67</v>
      </c>
      <c r="B50" s="9">
        <v>6.6360630989074707</v>
      </c>
      <c r="C50" s="10">
        <v>13</v>
      </c>
      <c r="D50" s="11">
        <v>0.16129031777381897</v>
      </c>
      <c r="E50" s="10">
        <v>7</v>
      </c>
      <c r="F50" s="11">
        <v>0.8928571343421936</v>
      </c>
      <c r="G50" s="11">
        <v>0.96551722288131714</v>
      </c>
      <c r="H50" s="11">
        <v>0.79310345649719238</v>
      </c>
      <c r="I50" s="11">
        <v>0.72413790225982666</v>
      </c>
      <c r="J50" s="11">
        <v>0.72413790225982666</v>
      </c>
      <c r="K50" s="11">
        <v>0.70967739820480347</v>
      </c>
      <c r="L50" s="11">
        <v>0.37999999523162842</v>
      </c>
      <c r="M50" s="11">
        <v>0.37999999523162842</v>
      </c>
      <c r="N50" s="11">
        <v>0.37999999523162842</v>
      </c>
      <c r="O50" s="11">
        <v>0.36000001430511475</v>
      </c>
      <c r="P50" s="11">
        <v>0.37999999523162842</v>
      </c>
      <c r="Q50" s="11">
        <v>0.17241379618644714</v>
      </c>
      <c r="R50" s="11">
        <v>0.27586206793785095</v>
      </c>
      <c r="S50" s="11">
        <v>0.40000000596046448</v>
      </c>
      <c r="T50" s="11">
        <v>0.58620691299438477</v>
      </c>
      <c r="U50" s="11">
        <v>0.20689655840396881</v>
      </c>
      <c r="V50" s="2" t="s">
        <v>21</v>
      </c>
      <c r="W50" s="2"/>
      <c r="X50" s="2"/>
      <c r="Y50" s="2"/>
      <c r="Z50" s="2"/>
    </row>
    <row r="51" spans="1:26" ht="12.75" customHeight="1" x14ac:dyDescent="0.25">
      <c r="A51" s="2" t="s">
        <v>68</v>
      </c>
      <c r="B51" s="9">
        <v>7.1462039947509766</v>
      </c>
      <c r="C51" s="10">
        <v>7</v>
      </c>
      <c r="D51" s="11">
        <v>5.55555559694767E-2</v>
      </c>
      <c r="E51" s="10">
        <v>6.5</v>
      </c>
      <c r="F51" s="11">
        <v>0.17647059261798859</v>
      </c>
      <c r="G51" s="11">
        <v>1</v>
      </c>
      <c r="H51" s="11">
        <v>0.91176468133926392</v>
      </c>
      <c r="I51" s="11">
        <v>0.97058820724487305</v>
      </c>
      <c r="J51" s="11">
        <v>0.88235294818878174</v>
      </c>
      <c r="K51" s="11">
        <v>0.77777779102325439</v>
      </c>
      <c r="L51" s="11">
        <v>0.34285715222358704</v>
      </c>
      <c r="M51" s="11">
        <v>0.28571429848670959</v>
      </c>
      <c r="N51" s="11">
        <v>0.34285715222358704</v>
      </c>
      <c r="O51" s="11">
        <v>0.31428572535514832</v>
      </c>
      <c r="P51" s="11">
        <v>0.31428572535514832</v>
      </c>
      <c r="Q51" s="11">
        <v>0.58823531866073608</v>
      </c>
      <c r="R51" s="11">
        <v>8.8235296308994293E-2</v>
      </c>
      <c r="S51" s="11">
        <v>0.60606062412261963</v>
      </c>
      <c r="T51" s="11">
        <v>2.9411764815449715E-2</v>
      </c>
      <c r="U51" s="11">
        <v>2.9411764815449715E-2</v>
      </c>
      <c r="V51" s="2" t="s">
        <v>26</v>
      </c>
      <c r="W51" s="2"/>
      <c r="X51" s="2"/>
      <c r="Y51" s="2"/>
      <c r="Z51" s="2"/>
    </row>
    <row r="52" spans="1:26" ht="12.75" customHeight="1" x14ac:dyDescent="0.25">
      <c r="A52" s="2" t="s">
        <v>69</v>
      </c>
      <c r="B52" s="9">
        <v>8.7061567306518555</v>
      </c>
      <c r="C52" s="10">
        <v>8.5</v>
      </c>
      <c r="D52" s="11">
        <v>3.9999999105930328E-2</v>
      </c>
      <c r="E52" s="10">
        <v>6</v>
      </c>
      <c r="F52" s="11">
        <v>0.64999997615814209</v>
      </c>
      <c r="G52" s="11">
        <v>0.9523809552192688</v>
      </c>
      <c r="H52" s="11">
        <v>0.9523809552192688</v>
      </c>
      <c r="I52" s="11">
        <v>0.8095238208770752</v>
      </c>
      <c r="J52" s="11">
        <v>0.61904764175415039</v>
      </c>
      <c r="K52" s="11">
        <v>0.60000002384185791</v>
      </c>
      <c r="L52" s="11">
        <v>0.6538461446762085</v>
      </c>
      <c r="M52" s="11">
        <v>0.6538461446762085</v>
      </c>
      <c r="N52" s="11">
        <v>0.6538461446762085</v>
      </c>
      <c r="O52" s="11">
        <v>0.6538461446762085</v>
      </c>
      <c r="P52" s="11">
        <v>0.69230771064758301</v>
      </c>
      <c r="Q52" s="11">
        <v>0</v>
      </c>
      <c r="R52" s="11">
        <v>4.5454546809196472E-2</v>
      </c>
      <c r="S52" s="11">
        <v>0.23076923191547394</v>
      </c>
      <c r="T52" s="11">
        <v>0</v>
      </c>
      <c r="U52" s="11">
        <v>0</v>
      </c>
      <c r="V52" s="2" t="s">
        <v>15</v>
      </c>
      <c r="W52" s="2"/>
      <c r="X52" s="2"/>
      <c r="Y52" s="2"/>
      <c r="Z52" s="2"/>
    </row>
    <row r="53" spans="1:26" ht="12.75" customHeight="1" x14ac:dyDescent="0.25">
      <c r="A53" s="2" t="s">
        <v>70</v>
      </c>
      <c r="B53" s="9">
        <v>8.2453813552856445</v>
      </c>
      <c r="C53" s="10">
        <v>4</v>
      </c>
      <c r="D53" s="11">
        <v>0</v>
      </c>
      <c r="E53" s="10">
        <v>5</v>
      </c>
      <c r="F53" s="11">
        <v>0.78947371244430542</v>
      </c>
      <c r="G53" s="11">
        <v>0.89999997615814209</v>
      </c>
      <c r="H53" s="11">
        <v>0.85000002384185791</v>
      </c>
      <c r="I53" s="11">
        <v>0.85000002384185791</v>
      </c>
      <c r="J53" s="11">
        <v>0.80000001192092896</v>
      </c>
      <c r="K53" s="11">
        <v>0.66666668653488159</v>
      </c>
      <c r="L53" s="11">
        <v>0.52941179275512695</v>
      </c>
      <c r="M53" s="11">
        <v>0.5</v>
      </c>
      <c r="N53" s="11">
        <v>0.52941179275512695</v>
      </c>
      <c r="O53" s="11">
        <v>0.52941179275512695</v>
      </c>
      <c r="P53" s="11">
        <v>0.52941179275512695</v>
      </c>
      <c r="Q53" s="11">
        <v>0.15000000596046448</v>
      </c>
      <c r="R53" s="11">
        <v>0.25</v>
      </c>
      <c r="S53" s="11">
        <v>0.3125</v>
      </c>
      <c r="T53" s="11">
        <v>0.10000000149011612</v>
      </c>
      <c r="U53" s="11">
        <v>0.10000000149011612</v>
      </c>
      <c r="V53" s="2" t="s">
        <v>18</v>
      </c>
      <c r="W53" s="2"/>
      <c r="X53" s="2"/>
      <c r="Y53" s="2"/>
      <c r="Z53" s="2"/>
    </row>
    <row r="54" spans="1:26" ht="12.75" customHeight="1" x14ac:dyDescent="0.25">
      <c r="A54" s="2" t="s">
        <v>78</v>
      </c>
      <c r="B54" s="9">
        <v>7.4729647636413574</v>
      </c>
      <c r="C54" s="10">
        <v>6</v>
      </c>
      <c r="D54" s="11">
        <v>0.17647059261798859</v>
      </c>
      <c r="E54" s="10">
        <v>6</v>
      </c>
      <c r="F54" s="11">
        <v>0.6428571343421936</v>
      </c>
      <c r="G54" s="11">
        <v>0.92857140302658081</v>
      </c>
      <c r="H54" s="11">
        <v>0.8571428656578064</v>
      </c>
      <c r="I54" s="11">
        <v>0.6428571343421936</v>
      </c>
      <c r="J54" s="11">
        <v>0.6428571343421936</v>
      </c>
      <c r="K54" s="11">
        <v>0.4117647111415863</v>
      </c>
      <c r="L54" s="11">
        <v>0.63999998569488525</v>
      </c>
      <c r="M54" s="11">
        <v>0.63999998569488525</v>
      </c>
      <c r="N54" s="11">
        <v>0.63999998569488525</v>
      </c>
      <c r="O54" s="11">
        <v>0.60000002384185791</v>
      </c>
      <c r="P54" s="11">
        <v>0.63999998569488525</v>
      </c>
      <c r="Q54" s="11">
        <v>6.6666670143604279E-2</v>
      </c>
      <c r="R54" s="11">
        <v>6.6666670143604279E-2</v>
      </c>
      <c r="S54" s="11">
        <v>0.10526315867900848</v>
      </c>
      <c r="T54" s="11">
        <v>0.40000000596046448</v>
      </c>
      <c r="U54" s="11">
        <v>0.13333334028720856</v>
      </c>
      <c r="V54" s="2" t="s">
        <v>26</v>
      </c>
      <c r="W54" s="2"/>
      <c r="X54" s="2"/>
      <c r="Y54" s="2"/>
      <c r="Z54" s="2"/>
    </row>
    <row r="55" spans="1:26" ht="12.75" customHeight="1" x14ac:dyDescent="0.25">
      <c r="A55" s="2" t="s">
        <v>71</v>
      </c>
      <c r="B55" s="9">
        <v>7.4384136199951172</v>
      </c>
      <c r="C55" s="10">
        <v>10.5</v>
      </c>
      <c r="D55" s="11">
        <v>0</v>
      </c>
      <c r="E55" s="10">
        <v>5.5</v>
      </c>
      <c r="F55" s="11">
        <v>0.3333333432674408</v>
      </c>
      <c r="G55" s="11">
        <v>1</v>
      </c>
      <c r="H55" s="11">
        <v>1</v>
      </c>
      <c r="I55" s="11">
        <v>0.9375</v>
      </c>
      <c r="J55" s="11">
        <v>0.8125</v>
      </c>
      <c r="K55" s="11">
        <v>0.68181818723678589</v>
      </c>
      <c r="L55" s="11">
        <v>0.3611111044883728</v>
      </c>
      <c r="M55" s="11">
        <v>0.3611111044883728</v>
      </c>
      <c r="N55" s="11">
        <v>0.3611111044883728</v>
      </c>
      <c r="O55" s="11">
        <v>0.3611111044883728</v>
      </c>
      <c r="P55" s="11">
        <v>0.3888888955116272</v>
      </c>
      <c r="Q55" s="11">
        <v>0.26666668057441711</v>
      </c>
      <c r="R55" s="11">
        <v>0.3333333432674408</v>
      </c>
      <c r="S55" s="11">
        <v>0.5151515007019043</v>
      </c>
      <c r="T55" s="11">
        <v>0.125</v>
      </c>
      <c r="U55" s="11">
        <v>0</v>
      </c>
      <c r="V55" s="2" t="s">
        <v>24</v>
      </c>
      <c r="W55" s="2"/>
      <c r="X55" s="2"/>
      <c r="Y55" s="2"/>
      <c r="Z55" s="2"/>
    </row>
    <row r="56" spans="1:26" ht="12.75" customHeight="1" x14ac:dyDescent="0.25">
      <c r="A56" s="2" t="s">
        <v>72</v>
      </c>
      <c r="B56" s="9">
        <v>7.4412140846252441</v>
      </c>
      <c r="C56" s="10">
        <v>7</v>
      </c>
      <c r="D56" s="11">
        <v>7.6923079788684845E-2</v>
      </c>
      <c r="E56" s="10">
        <v>5</v>
      </c>
      <c r="F56" s="11">
        <v>0.55555558204650879</v>
      </c>
      <c r="G56" s="11">
        <v>0.94444441795349121</v>
      </c>
      <c r="H56" s="11">
        <v>0.8888888955116272</v>
      </c>
      <c r="I56" s="11">
        <v>0.83333331346511841</v>
      </c>
      <c r="J56" s="11">
        <v>0.83333331346511841</v>
      </c>
      <c r="K56" s="11">
        <v>0.57692307233810425</v>
      </c>
      <c r="L56" s="11">
        <v>0.375</v>
      </c>
      <c r="M56" s="11">
        <v>0.3333333432674408</v>
      </c>
      <c r="N56" s="11">
        <v>0.375</v>
      </c>
      <c r="O56" s="11">
        <v>0.3333333432674408</v>
      </c>
      <c r="P56" s="11">
        <v>0.375</v>
      </c>
      <c r="Q56" s="11">
        <v>0.2222222238779068</v>
      </c>
      <c r="R56" s="11">
        <v>0.17647059261798859</v>
      </c>
      <c r="S56" s="11">
        <v>0.59090906381607056</v>
      </c>
      <c r="T56" s="11">
        <v>5.55555559694767E-2</v>
      </c>
      <c r="U56" s="11">
        <v>0</v>
      </c>
      <c r="V56" s="2" t="s">
        <v>21</v>
      </c>
      <c r="W56" s="2"/>
      <c r="X56" s="2"/>
      <c r="Y56" s="2"/>
      <c r="Z56" s="2"/>
    </row>
    <row r="57" spans="1:26" ht="12.75" customHeight="1" x14ac:dyDescent="0.25">
      <c r="A57" s="2" t="s">
        <v>73</v>
      </c>
      <c r="B57" s="9">
        <v>7.5641098022460938</v>
      </c>
      <c r="C57" s="10">
        <v>7</v>
      </c>
      <c r="D57" s="11">
        <v>3.8461539894342422E-2</v>
      </c>
      <c r="E57" s="10">
        <v>5</v>
      </c>
      <c r="F57" s="11">
        <v>0.625</v>
      </c>
      <c r="G57" s="11">
        <v>0.875</v>
      </c>
      <c r="H57" s="11">
        <v>0.875</v>
      </c>
      <c r="I57" s="11">
        <v>0.875</v>
      </c>
      <c r="J57" s="11">
        <v>0.875</v>
      </c>
      <c r="K57" s="11">
        <v>0.73076921701431274</v>
      </c>
      <c r="L57" s="11">
        <v>0.38636362552642822</v>
      </c>
      <c r="M57" s="11">
        <v>0.38636362552642822</v>
      </c>
      <c r="N57" s="11">
        <v>0.38636362552642822</v>
      </c>
      <c r="O57" s="11">
        <v>0.40909090638160706</v>
      </c>
      <c r="P57" s="11">
        <v>0.38636362552642822</v>
      </c>
      <c r="Q57" s="11">
        <v>0.25</v>
      </c>
      <c r="R57" s="11">
        <v>0.3333333432674408</v>
      </c>
      <c r="S57" s="11">
        <v>0.4883720874786377</v>
      </c>
      <c r="T57" s="11">
        <v>0.125</v>
      </c>
      <c r="U57" s="11">
        <v>8.3333335816860199E-2</v>
      </c>
      <c r="V57" s="2" t="s">
        <v>18</v>
      </c>
      <c r="W57" s="2"/>
      <c r="X57" s="2"/>
      <c r="Y57" s="2"/>
      <c r="Z57" s="2"/>
    </row>
    <row r="58" spans="1:26" ht="12.75" customHeight="1" x14ac:dyDescent="0.25">
      <c r="A58" s="2" t="s">
        <v>74</v>
      </c>
      <c r="B58" s="9">
        <v>7.5136032104492188</v>
      </c>
      <c r="C58" s="10">
        <v>8</v>
      </c>
      <c r="D58" s="11">
        <v>0.14814814925193787</v>
      </c>
      <c r="E58" s="10">
        <v>6</v>
      </c>
      <c r="F58" s="11">
        <v>0.58823531866073608</v>
      </c>
      <c r="G58" s="11">
        <v>0.83333331346511841</v>
      </c>
      <c r="H58" s="11">
        <v>0.72222220897674561</v>
      </c>
      <c r="I58" s="11">
        <v>0.83333331346511841</v>
      </c>
      <c r="J58" s="11">
        <v>0.8888888955116272</v>
      </c>
      <c r="K58" s="11">
        <v>0.55555558204650879</v>
      </c>
      <c r="L58" s="11">
        <v>0.51851850748062134</v>
      </c>
      <c r="M58" s="11">
        <v>0.55555558204650879</v>
      </c>
      <c r="N58" s="11">
        <v>0.55555558204650879</v>
      </c>
      <c r="O58" s="11">
        <v>0.55555558204650879</v>
      </c>
      <c r="P58" s="11">
        <v>0.55555558204650879</v>
      </c>
      <c r="Q58" s="11">
        <v>0.2222222238779068</v>
      </c>
      <c r="R58" s="11">
        <v>5.55555559694767E-2</v>
      </c>
      <c r="S58" s="11">
        <v>0.47826087474822998</v>
      </c>
      <c r="T58" s="11">
        <v>0.1666666716337204</v>
      </c>
      <c r="U58" s="11">
        <v>0.1111111119389534</v>
      </c>
      <c r="V58" s="2" t="s">
        <v>26</v>
      </c>
      <c r="W58" s="2"/>
      <c r="X58" s="2"/>
      <c r="Y58" s="2"/>
      <c r="Z58" s="2"/>
    </row>
    <row r="59" spans="1:26" ht="12.75" customHeight="1" x14ac:dyDescent="0.25">
      <c r="A59" s="2" t="s">
        <v>75</v>
      </c>
      <c r="B59" s="9">
        <v>8.4664878845214844</v>
      </c>
      <c r="C59" s="10">
        <v>7</v>
      </c>
      <c r="D59" s="11">
        <v>7.1428574621677399E-2</v>
      </c>
      <c r="E59" s="10">
        <v>7</v>
      </c>
      <c r="F59" s="11">
        <v>0.63636362552642822</v>
      </c>
      <c r="G59" s="11">
        <v>0.91666668653488159</v>
      </c>
      <c r="H59" s="11">
        <v>0.91666668653488159</v>
      </c>
      <c r="I59" s="11">
        <v>0.83333331346511841</v>
      </c>
      <c r="J59" s="11">
        <v>0.83333331346511841</v>
      </c>
      <c r="K59" s="11">
        <v>0.71428573131561279</v>
      </c>
      <c r="L59" s="11">
        <v>0.66666668653488159</v>
      </c>
      <c r="M59" s="11">
        <v>0.63333332538604736</v>
      </c>
      <c r="N59" s="11">
        <v>0.66666668653488159</v>
      </c>
      <c r="O59" s="11">
        <v>0.63333332538604736</v>
      </c>
      <c r="P59" s="11">
        <v>0.63333332538604736</v>
      </c>
      <c r="Q59" s="11">
        <v>0.1666666716337204</v>
      </c>
      <c r="R59" s="11">
        <v>0</v>
      </c>
      <c r="S59" s="11">
        <v>0.1785714328289032</v>
      </c>
      <c r="T59" s="11">
        <v>8.3333335816860199E-2</v>
      </c>
      <c r="U59" s="11">
        <v>8.3333335816860199E-2</v>
      </c>
      <c r="V59" s="2" t="s">
        <v>15</v>
      </c>
      <c r="W59" s="2"/>
      <c r="X59" s="2"/>
      <c r="Y59" s="2"/>
      <c r="Z59" s="2"/>
    </row>
    <row r="60" spans="1:26" ht="12.75" customHeight="1" x14ac:dyDescent="0.25">
      <c r="A60" s="2" t="s">
        <v>77</v>
      </c>
      <c r="B60" s="9">
        <v>8.1473007202148438</v>
      </c>
      <c r="C60" s="10">
        <v>3</v>
      </c>
      <c r="D60" s="11">
        <v>0.18181818723678589</v>
      </c>
      <c r="E60" s="10">
        <v>5</v>
      </c>
      <c r="F60" s="11">
        <v>1</v>
      </c>
      <c r="G60" s="11">
        <v>0.80000001192092896</v>
      </c>
      <c r="H60" s="11">
        <v>1</v>
      </c>
      <c r="I60" s="11">
        <v>0.60000002384185791</v>
      </c>
      <c r="J60" s="11">
        <v>0.60000002384185791</v>
      </c>
      <c r="K60" s="11">
        <v>0.72727274894714355</v>
      </c>
      <c r="L60" s="11">
        <v>0.48780488967895508</v>
      </c>
      <c r="M60" s="11">
        <v>0.48780488967895508</v>
      </c>
      <c r="N60" s="11">
        <v>0.51219511032104492</v>
      </c>
      <c r="O60" s="11">
        <v>0.51219511032104492</v>
      </c>
      <c r="P60" s="11">
        <v>0.48780488967895508</v>
      </c>
      <c r="Q60" s="11">
        <v>0.2222222238779068</v>
      </c>
      <c r="R60" s="11">
        <v>0</v>
      </c>
      <c r="S60" s="11">
        <v>0.3333333432674408</v>
      </c>
      <c r="T60" s="11">
        <v>0.10000000149011612</v>
      </c>
      <c r="U60" s="11">
        <v>0</v>
      </c>
      <c r="V60" s="2" t="s">
        <v>15</v>
      </c>
      <c r="W60" s="2"/>
      <c r="X60" s="2"/>
      <c r="Y60" s="2"/>
      <c r="Z60" s="2"/>
    </row>
    <row r="61" spans="1:26" ht="12.75" customHeight="1" x14ac:dyDescent="0.25">
      <c r="A61" s="2" t="s">
        <v>79</v>
      </c>
      <c r="B61" s="9">
        <v>7.3641014099121094</v>
      </c>
      <c r="C61" s="10">
        <v>4.5</v>
      </c>
      <c r="D61" s="11">
        <v>0</v>
      </c>
      <c r="E61" s="10">
        <v>3.5</v>
      </c>
      <c r="F61" s="11">
        <v>0.55555558204650879</v>
      </c>
      <c r="G61" s="11">
        <v>0.77777779102325439</v>
      </c>
      <c r="H61" s="11">
        <v>0.77777779102325439</v>
      </c>
      <c r="I61" s="11">
        <v>0.4444444477558136</v>
      </c>
      <c r="J61" s="11">
        <v>0.55555558204650879</v>
      </c>
      <c r="K61" s="11">
        <v>0.69999998807907104</v>
      </c>
      <c r="L61" s="11">
        <v>0.31578946113586426</v>
      </c>
      <c r="M61" s="11">
        <v>0.34210526943206787</v>
      </c>
      <c r="N61" s="11">
        <v>0.34210526943206787</v>
      </c>
      <c r="O61" s="11">
        <v>0.34210526943206787</v>
      </c>
      <c r="P61" s="11">
        <v>0.34210526943206787</v>
      </c>
      <c r="Q61" s="11">
        <v>0.1111111119389534</v>
      </c>
      <c r="R61" s="11">
        <v>0.4444444477558136</v>
      </c>
      <c r="S61" s="11">
        <v>0.5151515007019043</v>
      </c>
      <c r="T61" s="11">
        <v>0.1111111119389534</v>
      </c>
      <c r="U61" s="11">
        <v>0</v>
      </c>
      <c r="V61" s="2" t="s">
        <v>18</v>
      </c>
      <c r="W61" s="2"/>
      <c r="X61" s="2"/>
      <c r="Y61" s="2"/>
      <c r="Z61" s="2"/>
    </row>
    <row r="62" spans="1:26" ht="12.75" customHeight="1" x14ac:dyDescent="0.25">
      <c r="A62" s="2" t="s">
        <v>80</v>
      </c>
      <c r="B62" s="9">
        <v>6.4163613319396973</v>
      </c>
      <c r="C62" s="10">
        <v>11</v>
      </c>
      <c r="D62" s="11">
        <v>0.28571429848670959</v>
      </c>
      <c r="E62" s="10">
        <v>7.5</v>
      </c>
      <c r="F62" s="11">
        <v>0.6428571343421936</v>
      </c>
      <c r="G62" s="11">
        <v>0.8571428656578064</v>
      </c>
      <c r="H62" s="11">
        <v>0.8571428656578064</v>
      </c>
      <c r="I62" s="11">
        <v>0.78571426868438721</v>
      </c>
      <c r="J62" s="11">
        <v>0.92857140302658081</v>
      </c>
      <c r="K62" s="11">
        <v>0.3571428656578064</v>
      </c>
      <c r="L62" s="11">
        <v>0.30882352590560913</v>
      </c>
      <c r="M62" s="11">
        <v>0.29411765933036804</v>
      </c>
      <c r="N62" s="11">
        <v>0.30882352590560913</v>
      </c>
      <c r="O62" s="11">
        <v>0.29411765933036804</v>
      </c>
      <c r="P62" s="11">
        <v>0.30882352590560913</v>
      </c>
      <c r="Q62" s="11">
        <v>0.2142857164144516</v>
      </c>
      <c r="R62" s="11">
        <v>0.5</v>
      </c>
      <c r="S62" s="11">
        <v>0.64179104566574097</v>
      </c>
      <c r="T62" s="11">
        <v>7.1428574621677399E-2</v>
      </c>
      <c r="U62" s="11">
        <v>0</v>
      </c>
      <c r="V62" s="2" t="s">
        <v>15</v>
      </c>
      <c r="W62" s="2"/>
      <c r="X62" s="2"/>
      <c r="Y62" s="2"/>
      <c r="Z62" s="2"/>
    </row>
    <row r="63" spans="1:26" ht="12.75" customHeight="1" x14ac:dyDescent="0.25">
      <c r="A63" s="2" t="s">
        <v>81</v>
      </c>
      <c r="B63" s="9">
        <v>7.3012466430664063</v>
      </c>
      <c r="C63" s="10">
        <v>7</v>
      </c>
      <c r="D63" s="11">
        <v>0.1315789520740509</v>
      </c>
      <c r="E63" s="10">
        <v>8</v>
      </c>
      <c r="F63" s="11">
        <v>0.48275861144065857</v>
      </c>
      <c r="G63" s="11">
        <v>0.87096774578094482</v>
      </c>
      <c r="H63" s="11">
        <v>0.96774190664291382</v>
      </c>
      <c r="I63" s="11">
        <v>0.83870965242385864</v>
      </c>
      <c r="J63" s="11">
        <v>0.77419352531433105</v>
      </c>
      <c r="K63" s="11">
        <v>0.47368422150611877</v>
      </c>
      <c r="L63" s="11">
        <v>0.43181818723678589</v>
      </c>
      <c r="M63" s="11">
        <v>0.45454546809196472</v>
      </c>
      <c r="N63" s="11">
        <v>0.47727271914482117</v>
      </c>
      <c r="O63" s="11">
        <v>0.40909090638160706</v>
      </c>
      <c r="P63" s="11">
        <v>0.43181818723678589</v>
      </c>
      <c r="Q63" s="11">
        <v>9.6774190664291382E-2</v>
      </c>
      <c r="R63" s="11">
        <v>0.10000000149011612</v>
      </c>
      <c r="S63" s="11">
        <v>0.42500001192092896</v>
      </c>
      <c r="T63" s="11">
        <v>0.125</v>
      </c>
      <c r="U63" s="11">
        <v>3.125E-2</v>
      </c>
      <c r="V63" s="2" t="s">
        <v>21</v>
      </c>
      <c r="W63" s="2"/>
      <c r="X63" s="2"/>
      <c r="Y63" s="2"/>
      <c r="Z63" s="2"/>
    </row>
    <row r="64" spans="1:26" ht="12.75" customHeight="1" x14ac:dyDescent="0.25">
      <c r="A64" s="5" t="s">
        <v>82</v>
      </c>
      <c r="B64" s="12">
        <v>6.7548236846923828</v>
      </c>
      <c r="C64" s="13">
        <v>9</v>
      </c>
      <c r="D64" s="14">
        <v>0.3333333432674408</v>
      </c>
      <c r="E64" s="13">
        <v>6</v>
      </c>
      <c r="F64" s="14">
        <v>0.57142859697341919</v>
      </c>
      <c r="G64" s="14">
        <v>1</v>
      </c>
      <c r="H64" s="14">
        <v>0.75</v>
      </c>
      <c r="I64" s="14">
        <v>0.875</v>
      </c>
      <c r="J64" s="14">
        <v>0.875</v>
      </c>
      <c r="K64" s="14">
        <v>0.77777779102325439</v>
      </c>
      <c r="L64" s="14">
        <v>0.34782609343528748</v>
      </c>
      <c r="M64" s="14">
        <v>0.34782609343528748</v>
      </c>
      <c r="N64" s="14">
        <v>0.34782609343528748</v>
      </c>
      <c r="O64" s="14">
        <v>0.34782609343528748</v>
      </c>
      <c r="P64" s="14">
        <v>0.34782609343528748</v>
      </c>
      <c r="Q64" s="14">
        <v>0.1111111119389534</v>
      </c>
      <c r="R64" s="14">
        <v>0</v>
      </c>
      <c r="S64" s="14">
        <v>0.47826087474822998</v>
      </c>
      <c r="T64" s="14">
        <v>0.2222222238779068</v>
      </c>
      <c r="U64" s="14">
        <v>0.1111111119389534</v>
      </c>
      <c r="V64" s="5" t="s">
        <v>18</v>
      </c>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15" t="e">
        <f>#REF!</f>
        <v>#REF!</v>
      </c>
      <c r="B66" s="16">
        <f t="shared" ref="B66:U66" si="0">SUMIF($A$2:$A$64,$A$66,B2:B64)</f>
        <v>0</v>
      </c>
      <c r="C66" s="16">
        <f t="shared" si="0"/>
        <v>0</v>
      </c>
      <c r="D66" s="17">
        <f t="shared" si="0"/>
        <v>0</v>
      </c>
      <c r="E66" s="18">
        <f t="shared" si="0"/>
        <v>0</v>
      </c>
      <c r="F66" s="17">
        <f t="shared" si="0"/>
        <v>0</v>
      </c>
      <c r="G66" s="17">
        <f t="shared" si="0"/>
        <v>0</v>
      </c>
      <c r="H66" s="17">
        <f t="shared" si="0"/>
        <v>0</v>
      </c>
      <c r="I66" s="17">
        <f t="shared" si="0"/>
        <v>0</v>
      </c>
      <c r="J66" s="17">
        <f t="shared" si="0"/>
        <v>0</v>
      </c>
      <c r="K66" s="17">
        <f t="shared" si="0"/>
        <v>0</v>
      </c>
      <c r="L66" s="17">
        <f t="shared" si="0"/>
        <v>0</v>
      </c>
      <c r="M66" s="17">
        <f t="shared" si="0"/>
        <v>0</v>
      </c>
      <c r="N66" s="17">
        <f t="shared" si="0"/>
        <v>0</v>
      </c>
      <c r="O66" s="17">
        <f t="shared" si="0"/>
        <v>0</v>
      </c>
      <c r="P66" s="17">
        <f t="shared" si="0"/>
        <v>0</v>
      </c>
      <c r="Q66" s="17">
        <f t="shared" si="0"/>
        <v>0</v>
      </c>
      <c r="R66" s="17">
        <f t="shared" si="0"/>
        <v>0</v>
      </c>
      <c r="S66" s="17">
        <f t="shared" si="0"/>
        <v>0</v>
      </c>
      <c r="T66" s="17">
        <f t="shared" si="0"/>
        <v>0</v>
      </c>
      <c r="U66" s="17">
        <f t="shared" si="0"/>
        <v>0</v>
      </c>
      <c r="V66" s="2"/>
      <c r="W66" s="2"/>
      <c r="X66" s="2"/>
      <c r="Y66" s="2"/>
      <c r="Z66" s="2"/>
    </row>
    <row r="67" spans="1:26" ht="12.75" customHeight="1" x14ac:dyDescent="0.25">
      <c r="A67" s="2" t="s">
        <v>102</v>
      </c>
      <c r="B67" s="19">
        <f t="shared" ref="B67:U67" si="1">MIN(B2:B64)</f>
        <v>5.5521774291992188</v>
      </c>
      <c r="C67" s="20">
        <f t="shared" si="1"/>
        <v>3</v>
      </c>
      <c r="D67" s="21">
        <f t="shared" si="1"/>
        <v>0</v>
      </c>
      <c r="E67" s="22">
        <f t="shared" si="1"/>
        <v>3</v>
      </c>
      <c r="F67" s="21">
        <f t="shared" si="1"/>
        <v>0.1315789520740509</v>
      </c>
      <c r="G67" s="21">
        <f t="shared" si="1"/>
        <v>0.66666668653488159</v>
      </c>
      <c r="H67" s="21">
        <f t="shared" si="1"/>
        <v>0.66666668653488159</v>
      </c>
      <c r="I67" s="21">
        <f t="shared" si="1"/>
        <v>0.4444444477558136</v>
      </c>
      <c r="J67" s="21">
        <f t="shared" si="1"/>
        <v>0.25</v>
      </c>
      <c r="K67" s="21">
        <f t="shared" si="1"/>
        <v>0.25</v>
      </c>
      <c r="L67" s="21">
        <f t="shared" si="1"/>
        <v>9.8360657691955566E-2</v>
      </c>
      <c r="M67" s="21">
        <f t="shared" si="1"/>
        <v>9.8360657691955566E-2</v>
      </c>
      <c r="N67" s="21">
        <f t="shared" si="1"/>
        <v>9.8360657691955566E-2</v>
      </c>
      <c r="O67" s="21">
        <f t="shared" si="1"/>
        <v>9.8360657691955566E-2</v>
      </c>
      <c r="P67" s="21">
        <f t="shared" si="1"/>
        <v>9.8360657691955566E-2</v>
      </c>
      <c r="Q67" s="21">
        <f t="shared" si="1"/>
        <v>0</v>
      </c>
      <c r="R67" s="21">
        <f t="shared" si="1"/>
        <v>0</v>
      </c>
      <c r="S67" s="21">
        <f t="shared" si="1"/>
        <v>0.10526315867900848</v>
      </c>
      <c r="T67" s="21">
        <f t="shared" si="1"/>
        <v>0</v>
      </c>
      <c r="U67" s="21">
        <f t="shared" si="1"/>
        <v>0</v>
      </c>
      <c r="V67" s="2"/>
      <c r="W67" s="2"/>
      <c r="X67" s="2"/>
      <c r="Y67" s="2"/>
      <c r="Z67" s="2"/>
    </row>
    <row r="68" spans="1:26" ht="12.75" customHeight="1" x14ac:dyDescent="0.25">
      <c r="A68" s="2" t="s">
        <v>103</v>
      </c>
      <c r="B68" s="19">
        <f t="shared" ref="B68:U68" si="2">MEDIAN(B2:B64)</f>
        <v>7.8122110366821289</v>
      </c>
      <c r="C68" s="20">
        <f t="shared" si="2"/>
        <v>7</v>
      </c>
      <c r="D68" s="21">
        <f t="shared" si="2"/>
        <v>6.8965516984462738E-2</v>
      </c>
      <c r="E68" s="22">
        <f t="shared" si="2"/>
        <v>6</v>
      </c>
      <c r="F68" s="21">
        <f t="shared" si="2"/>
        <v>0.6086956262588501</v>
      </c>
      <c r="G68" s="21">
        <f t="shared" si="2"/>
        <v>0.92857140302658081</v>
      </c>
      <c r="H68" s="21">
        <f t="shared" si="2"/>
        <v>0.90909093618392944</v>
      </c>
      <c r="I68" s="21">
        <f t="shared" si="2"/>
        <v>0.8571428656578064</v>
      </c>
      <c r="J68" s="21">
        <f t="shared" si="2"/>
        <v>0.86363637447357178</v>
      </c>
      <c r="K68" s="21">
        <f t="shared" si="2"/>
        <v>0.68181818723678589</v>
      </c>
      <c r="L68" s="21">
        <f t="shared" si="2"/>
        <v>0.47499999403953552</v>
      </c>
      <c r="M68" s="21">
        <f t="shared" si="2"/>
        <v>0.47499999403953552</v>
      </c>
      <c r="N68" s="21">
        <f t="shared" si="2"/>
        <v>0.47727271914482117</v>
      </c>
      <c r="O68" s="21">
        <f t="shared" si="2"/>
        <v>0.44999998807907104</v>
      </c>
      <c r="P68" s="21">
        <f t="shared" si="2"/>
        <v>0.47499999403953552</v>
      </c>
      <c r="Q68" s="21">
        <f t="shared" si="2"/>
        <v>0.1111111119389534</v>
      </c>
      <c r="R68" s="21">
        <f t="shared" si="2"/>
        <v>8.8235296308994293E-2</v>
      </c>
      <c r="S68" s="21">
        <f t="shared" si="2"/>
        <v>0.4166666567325592</v>
      </c>
      <c r="T68" s="21">
        <f t="shared" si="2"/>
        <v>0.1111111119389534</v>
      </c>
      <c r="U68" s="21">
        <f t="shared" si="2"/>
        <v>0</v>
      </c>
      <c r="V68" s="2"/>
      <c r="W68" s="2"/>
      <c r="X68" s="2"/>
      <c r="Y68" s="2"/>
      <c r="Z68" s="2"/>
    </row>
    <row r="69" spans="1:26" ht="12.75" customHeight="1" x14ac:dyDescent="0.25">
      <c r="A69" s="2" t="s">
        <v>104</v>
      </c>
      <c r="B69" s="19">
        <f t="shared" ref="B69:U69" si="3">MAX(B2:B64)</f>
        <v>8.8786725997924805</v>
      </c>
      <c r="C69" s="20">
        <f t="shared" si="3"/>
        <v>14</v>
      </c>
      <c r="D69" s="21">
        <f t="shared" si="3"/>
        <v>0.40000000596046448</v>
      </c>
      <c r="E69" s="22">
        <f t="shared" si="3"/>
        <v>10.5</v>
      </c>
      <c r="F69" s="21">
        <f t="shared" si="3"/>
        <v>1</v>
      </c>
      <c r="G69" s="21">
        <f t="shared" si="3"/>
        <v>1</v>
      </c>
      <c r="H69" s="21">
        <f t="shared" si="3"/>
        <v>1</v>
      </c>
      <c r="I69" s="21">
        <f t="shared" si="3"/>
        <v>1</v>
      </c>
      <c r="J69" s="21">
        <f t="shared" si="3"/>
        <v>1</v>
      </c>
      <c r="K69" s="21">
        <f t="shared" si="3"/>
        <v>0.93333333730697632</v>
      </c>
      <c r="L69" s="21">
        <f t="shared" si="3"/>
        <v>0.70212763547897339</v>
      </c>
      <c r="M69" s="21">
        <f t="shared" si="3"/>
        <v>0.70212763547897339</v>
      </c>
      <c r="N69" s="21">
        <f t="shared" si="3"/>
        <v>0.70212763547897339</v>
      </c>
      <c r="O69" s="21">
        <f t="shared" si="3"/>
        <v>0.6538461446762085</v>
      </c>
      <c r="P69" s="21">
        <f t="shared" si="3"/>
        <v>0.69230771064758301</v>
      </c>
      <c r="Q69" s="21">
        <f t="shared" si="3"/>
        <v>0.75</v>
      </c>
      <c r="R69" s="21">
        <f t="shared" si="3"/>
        <v>0.75</v>
      </c>
      <c r="S69" s="21">
        <f t="shared" si="3"/>
        <v>0.91666668653488159</v>
      </c>
      <c r="T69" s="21">
        <f t="shared" si="3"/>
        <v>0.58620691299438477</v>
      </c>
      <c r="U69" s="21">
        <f t="shared" si="3"/>
        <v>0.20689655840396881</v>
      </c>
      <c r="V69" s="2"/>
      <c r="W69" s="2"/>
      <c r="X69" s="2"/>
      <c r="Y69" s="2"/>
      <c r="Z69" s="2"/>
    </row>
    <row r="70" spans="1:26" ht="12.75" customHeight="1" x14ac:dyDescent="0.25">
      <c r="A70" s="2" t="s">
        <v>105</v>
      </c>
      <c r="B70" s="10" t="e">
        <f>RANK(B66,B2:B64,0)</f>
        <v>#N/A</v>
      </c>
      <c r="C70" s="10" t="e">
        <f t="shared" ref="C70:E70" si="4">RANK(C66,C2:C64,1)</f>
        <v>#N/A</v>
      </c>
      <c r="D70" s="10">
        <f t="shared" si="4"/>
        <v>1</v>
      </c>
      <c r="E70" s="10" t="e">
        <f t="shared" si="4"/>
        <v>#N/A</v>
      </c>
      <c r="F70" s="10" t="e">
        <f t="shared" ref="F70:P70" si="5">RANK(F66,F2:F64,0)</f>
        <v>#N/A</v>
      </c>
      <c r="G70" s="10" t="e">
        <f t="shared" si="5"/>
        <v>#N/A</v>
      </c>
      <c r="H70" s="10" t="e">
        <f t="shared" si="5"/>
        <v>#N/A</v>
      </c>
      <c r="I70" s="10" t="e">
        <f t="shared" si="5"/>
        <v>#N/A</v>
      </c>
      <c r="J70" s="10" t="e">
        <f t="shared" si="5"/>
        <v>#N/A</v>
      </c>
      <c r="K70" s="10" t="e">
        <f t="shared" si="5"/>
        <v>#N/A</v>
      </c>
      <c r="L70" s="10" t="e">
        <f t="shared" si="5"/>
        <v>#N/A</v>
      </c>
      <c r="M70" s="10" t="e">
        <f t="shared" si="5"/>
        <v>#N/A</v>
      </c>
      <c r="N70" s="10" t="e">
        <f t="shared" si="5"/>
        <v>#N/A</v>
      </c>
      <c r="O70" s="10" t="e">
        <f t="shared" si="5"/>
        <v>#N/A</v>
      </c>
      <c r="P70" s="10" t="e">
        <f t="shared" si="5"/>
        <v>#N/A</v>
      </c>
      <c r="Q70" s="10">
        <f t="shared" ref="Q70:U70" si="6">RANK(Q66,Q2:Q64,1)</f>
        <v>1</v>
      </c>
      <c r="R70" s="10">
        <f t="shared" si="6"/>
        <v>1</v>
      </c>
      <c r="S70" s="10" t="e">
        <f t="shared" si="6"/>
        <v>#N/A</v>
      </c>
      <c r="T70" s="10">
        <f t="shared" si="6"/>
        <v>1</v>
      </c>
      <c r="U70" s="10">
        <f t="shared" si="6"/>
        <v>1</v>
      </c>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3" width="16.42578125" customWidth="1"/>
    <col min="4" max="4" width="25" customWidth="1"/>
    <col min="5" max="5" width="16.42578125" customWidth="1"/>
    <col min="6" max="6" width="19.140625" customWidth="1"/>
    <col min="7" max="7" width="21.140625" customWidth="1"/>
    <col min="8" max="8" width="31.28515625" customWidth="1"/>
    <col min="9" max="9" width="27.85546875" customWidth="1"/>
    <col min="10" max="10" width="24" customWidth="1"/>
    <col min="11" max="11" width="19.85546875" customWidth="1"/>
    <col min="12" max="12" width="21" customWidth="1"/>
    <col min="13" max="13" width="26.7109375" customWidth="1"/>
    <col min="14" max="14" width="26.140625" customWidth="1"/>
    <col min="15" max="15" width="29.140625" customWidth="1"/>
    <col min="16" max="16" width="26.28515625" customWidth="1"/>
    <col min="17" max="17" width="33.140625" customWidth="1"/>
    <col min="18" max="26" width="8.7109375" customWidth="1"/>
  </cols>
  <sheetData>
    <row r="1" spans="1:26" ht="52.5" customHeight="1" x14ac:dyDescent="0.25">
      <c r="A1" s="23" t="s">
        <v>0</v>
      </c>
      <c r="B1" s="24" t="s">
        <v>106</v>
      </c>
      <c r="C1" s="23" t="s">
        <v>107</v>
      </c>
      <c r="D1" s="23" t="s">
        <v>108</v>
      </c>
      <c r="E1" s="23" t="s">
        <v>109</v>
      </c>
      <c r="F1" s="23" t="s">
        <v>110</v>
      </c>
      <c r="G1" s="23" t="s">
        <v>111</v>
      </c>
      <c r="H1" s="23" t="s">
        <v>112</v>
      </c>
      <c r="I1" s="23" t="s">
        <v>113</v>
      </c>
      <c r="J1" s="23" t="s">
        <v>114</v>
      </c>
      <c r="K1" s="23" t="s">
        <v>115</v>
      </c>
      <c r="L1" s="23" t="s">
        <v>116</v>
      </c>
      <c r="M1" s="23" t="s">
        <v>117</v>
      </c>
      <c r="N1" s="23" t="s">
        <v>118</v>
      </c>
      <c r="O1" s="23" t="s">
        <v>119</v>
      </c>
      <c r="P1" s="23" t="s">
        <v>120</v>
      </c>
      <c r="Q1" s="1" t="s">
        <v>13</v>
      </c>
      <c r="R1" s="2"/>
      <c r="S1" s="2"/>
      <c r="T1" s="2"/>
      <c r="U1" s="2"/>
      <c r="V1" s="2"/>
      <c r="W1" s="2"/>
      <c r="X1" s="2"/>
      <c r="Y1" s="2"/>
      <c r="Z1" s="2"/>
    </row>
    <row r="2" spans="1:26" ht="12.75" customHeight="1" x14ac:dyDescent="0.25">
      <c r="A2" s="2" t="s">
        <v>14</v>
      </c>
      <c r="B2" s="9">
        <v>6.3665933609008789</v>
      </c>
      <c r="C2" s="10">
        <v>30</v>
      </c>
      <c r="D2" s="11">
        <v>0.25203251838684082</v>
      </c>
      <c r="E2" s="11">
        <v>0.32727271318435669</v>
      </c>
      <c r="F2" s="11">
        <v>0.16363635659217834</v>
      </c>
      <c r="G2" s="11">
        <v>0.29090908169746399</v>
      </c>
      <c r="H2" s="11">
        <v>0.65217393636703491</v>
      </c>
      <c r="I2" s="11">
        <v>0.4960629940032959</v>
      </c>
      <c r="J2" s="11">
        <v>0.58267718553543091</v>
      </c>
      <c r="K2" s="3">
        <v>1.6046512126922607</v>
      </c>
      <c r="L2" s="11">
        <v>0.34883719682693481</v>
      </c>
      <c r="M2" s="11">
        <v>0.83193278312683105</v>
      </c>
      <c r="N2" s="11">
        <v>0.4566929042339325</v>
      </c>
      <c r="O2" s="11">
        <v>0.37037035822868347</v>
      </c>
      <c r="P2" s="11">
        <v>0.9275362491607666</v>
      </c>
      <c r="Q2" s="2" t="s">
        <v>15</v>
      </c>
      <c r="R2" s="2"/>
      <c r="S2" s="2"/>
      <c r="T2" s="2"/>
      <c r="U2" s="2"/>
      <c r="V2" s="2"/>
      <c r="W2" s="2"/>
      <c r="X2" s="2"/>
      <c r="Y2" s="2"/>
      <c r="Z2" s="2"/>
    </row>
    <row r="3" spans="1:26" ht="12.75" customHeight="1" x14ac:dyDescent="0.25">
      <c r="A3" s="2" t="s">
        <v>29</v>
      </c>
      <c r="B3" s="9">
        <v>6.5317568778991699</v>
      </c>
      <c r="C3" s="10">
        <v>25</v>
      </c>
      <c r="D3" s="11">
        <v>0.32575756311416626</v>
      </c>
      <c r="E3" s="11">
        <v>0.1147540956735611</v>
      </c>
      <c r="F3" s="11">
        <v>9.8360657691955566E-2</v>
      </c>
      <c r="G3" s="11">
        <v>0.1147540956735611</v>
      </c>
      <c r="H3" s="11">
        <v>0.56060606241226196</v>
      </c>
      <c r="I3" s="11">
        <v>0.50735294818878174</v>
      </c>
      <c r="J3" s="11">
        <v>0.55147057771682739</v>
      </c>
      <c r="K3" s="3">
        <v>1.8235293626785278</v>
      </c>
      <c r="L3" s="11">
        <v>0.17647059261798859</v>
      </c>
      <c r="M3" s="11">
        <v>0.76335877180099487</v>
      </c>
      <c r="N3" s="11">
        <v>0.51470589637756348</v>
      </c>
      <c r="O3" s="11">
        <v>0.25</v>
      </c>
      <c r="P3" s="11">
        <v>0.69696968793869019</v>
      </c>
      <c r="Q3" s="2" t="s">
        <v>24</v>
      </c>
      <c r="R3" s="2"/>
      <c r="S3" s="2"/>
      <c r="T3" s="2"/>
      <c r="U3" s="2"/>
      <c r="V3" s="2"/>
      <c r="W3" s="2"/>
      <c r="X3" s="2"/>
      <c r="Y3" s="2"/>
      <c r="Z3" s="2"/>
    </row>
    <row r="4" spans="1:26" ht="12.75" customHeight="1" x14ac:dyDescent="0.25">
      <c r="A4" s="2" t="s">
        <v>17</v>
      </c>
      <c r="B4" s="9">
        <v>6.9865999221801758</v>
      </c>
      <c r="C4" s="10">
        <v>30</v>
      </c>
      <c r="D4" s="11">
        <v>0.39694657921791077</v>
      </c>
      <c r="E4" s="11">
        <v>0.15714286267757416</v>
      </c>
      <c r="F4" s="11">
        <v>0.10000000149011612</v>
      </c>
      <c r="G4" s="11">
        <v>0.12857143580913544</v>
      </c>
      <c r="H4" s="11">
        <v>0.66176468133926392</v>
      </c>
      <c r="I4" s="11">
        <v>0.58646619319915771</v>
      </c>
      <c r="J4" s="11">
        <v>0.57142859697341919</v>
      </c>
      <c r="K4" s="3">
        <v>1.8181818723678589</v>
      </c>
      <c r="L4" s="11">
        <v>0.27272728085517883</v>
      </c>
      <c r="M4" s="11">
        <v>0.86923074722290039</v>
      </c>
      <c r="N4" s="11">
        <v>0.4887218177318573</v>
      </c>
      <c r="O4" s="11">
        <v>0.1875</v>
      </c>
      <c r="P4" s="11">
        <v>0.47058823704719543</v>
      </c>
      <c r="Q4" s="2" t="s">
        <v>18</v>
      </c>
      <c r="R4" s="2"/>
      <c r="S4" s="2"/>
      <c r="T4" s="2"/>
      <c r="U4" s="2"/>
      <c r="V4" s="2"/>
      <c r="W4" s="2"/>
      <c r="X4" s="2"/>
      <c r="Y4" s="2"/>
      <c r="Z4" s="2"/>
    </row>
    <row r="5" spans="1:26" ht="12.75" customHeight="1" x14ac:dyDescent="0.25">
      <c r="A5" s="2" t="s">
        <v>19</v>
      </c>
      <c r="B5" s="9">
        <v>5.9985799789428711</v>
      </c>
      <c r="C5" s="10">
        <v>18</v>
      </c>
      <c r="D5" s="11">
        <v>0.32911393046379089</v>
      </c>
      <c r="E5" s="11">
        <v>0.25531914830207825</v>
      </c>
      <c r="F5" s="11">
        <v>0.23404255509376526</v>
      </c>
      <c r="G5" s="11">
        <v>0.29787233471870422</v>
      </c>
      <c r="H5" s="11">
        <v>0.55813956260681152</v>
      </c>
      <c r="I5" s="11">
        <v>0.58749997615814209</v>
      </c>
      <c r="J5" s="11">
        <v>0.58749997615814209</v>
      </c>
      <c r="K5" s="3">
        <v>1.6129032373428345</v>
      </c>
      <c r="L5" s="11">
        <v>0.25806450843811035</v>
      </c>
      <c r="M5" s="11">
        <v>0.82499998807907104</v>
      </c>
      <c r="N5" s="11">
        <v>0.46250000596046448</v>
      </c>
      <c r="O5" s="11">
        <v>0.71428573131561279</v>
      </c>
      <c r="P5" s="11">
        <v>0.76744186878204346</v>
      </c>
      <c r="Q5" s="2" t="s">
        <v>18</v>
      </c>
      <c r="R5" s="2"/>
      <c r="S5" s="2"/>
      <c r="T5" s="2"/>
      <c r="U5" s="2"/>
      <c r="V5" s="2"/>
      <c r="W5" s="2"/>
      <c r="X5" s="2"/>
      <c r="Y5" s="2"/>
      <c r="Z5" s="2"/>
    </row>
    <row r="6" spans="1:26" ht="12.75" customHeight="1" x14ac:dyDescent="0.25">
      <c r="A6" s="2" t="s">
        <v>16</v>
      </c>
      <c r="B6" s="9">
        <v>5.9747729301452637</v>
      </c>
      <c r="C6" s="10">
        <v>15</v>
      </c>
      <c r="D6" s="11">
        <v>0.16161616146564484</v>
      </c>
      <c r="E6" s="11">
        <v>0.5762711763381958</v>
      </c>
      <c r="F6" s="11">
        <v>0.11864406615495682</v>
      </c>
      <c r="G6" s="11">
        <v>3.3898305147886276E-2</v>
      </c>
      <c r="H6" s="11">
        <v>0.6875</v>
      </c>
      <c r="I6" s="11">
        <v>0.55000001192092896</v>
      </c>
      <c r="J6" s="11">
        <v>0.5899999737739563</v>
      </c>
      <c r="K6" s="3">
        <v>1.75</v>
      </c>
      <c r="L6" s="11">
        <v>0.4375</v>
      </c>
      <c r="M6" s="11">
        <v>0.86000001430511475</v>
      </c>
      <c r="N6" s="11">
        <v>0.51999998092651367</v>
      </c>
      <c r="O6" s="11">
        <v>0.80327868461608887</v>
      </c>
      <c r="P6" s="11">
        <v>0.85416668653488159</v>
      </c>
      <c r="Q6" s="2" t="s">
        <v>15</v>
      </c>
      <c r="R6" s="2"/>
      <c r="S6" s="2"/>
      <c r="T6" s="2"/>
      <c r="U6" s="2"/>
      <c r="V6" s="2"/>
      <c r="W6" s="2"/>
      <c r="X6" s="2"/>
      <c r="Y6" s="2"/>
      <c r="Z6" s="2"/>
    </row>
    <row r="7" spans="1:26" ht="12.75" customHeight="1" x14ac:dyDescent="0.25">
      <c r="A7" s="2" t="s">
        <v>20</v>
      </c>
      <c r="B7" s="9">
        <v>6.0817561149597168</v>
      </c>
      <c r="C7" s="10">
        <v>20</v>
      </c>
      <c r="D7" s="11">
        <v>0.20779220759868622</v>
      </c>
      <c r="E7" s="11">
        <v>0.2950819730758667</v>
      </c>
      <c r="F7" s="11">
        <v>0.16393442451953888</v>
      </c>
      <c r="G7" s="11">
        <v>0.34426230192184448</v>
      </c>
      <c r="H7" s="11">
        <v>0.67948716878890991</v>
      </c>
      <c r="I7" s="11">
        <v>0.50967741012573242</v>
      </c>
      <c r="J7" s="11">
        <v>0.61290323734283447</v>
      </c>
      <c r="K7" s="3">
        <v>1.7666666507720947</v>
      </c>
      <c r="L7" s="11">
        <v>0.10000000149011612</v>
      </c>
      <c r="M7" s="11">
        <v>0.82236844301223755</v>
      </c>
      <c r="N7" s="11">
        <v>0.49677419662475586</v>
      </c>
      <c r="O7" s="11">
        <v>0.3125</v>
      </c>
      <c r="P7" s="11">
        <v>0.66666668653488159</v>
      </c>
      <c r="Q7" s="2" t="s">
        <v>21</v>
      </c>
      <c r="R7" s="2"/>
      <c r="S7" s="2"/>
      <c r="T7" s="2"/>
      <c r="U7" s="2"/>
      <c r="V7" s="2"/>
      <c r="W7" s="2"/>
      <c r="X7" s="2"/>
      <c r="Y7" s="2"/>
      <c r="Z7" s="2"/>
    </row>
    <row r="8" spans="1:26" ht="12.75" customHeight="1" x14ac:dyDescent="0.25">
      <c r="A8" s="2" t="s">
        <v>22</v>
      </c>
      <c r="B8" s="9">
        <v>7.8577704429626465</v>
      </c>
      <c r="C8" s="10">
        <v>15</v>
      </c>
      <c r="D8" s="11">
        <v>0.69402986764907837</v>
      </c>
      <c r="E8" s="11">
        <v>3.8095239549875259E-2</v>
      </c>
      <c r="F8" s="11">
        <v>9.5238098874688148E-3</v>
      </c>
      <c r="G8" s="11">
        <v>3.8095239549875259E-2</v>
      </c>
      <c r="H8" s="11">
        <v>0.74603176116943359</v>
      </c>
      <c r="I8" s="11">
        <v>0.53676468133926392</v>
      </c>
      <c r="J8" s="11">
        <v>0.52205884456634521</v>
      </c>
      <c r="K8" s="3">
        <v>1.5151515007019043</v>
      </c>
      <c r="L8" s="11">
        <v>0.18181818723678589</v>
      </c>
      <c r="M8" s="11">
        <v>0.87218046188354492</v>
      </c>
      <c r="N8" s="11">
        <v>0.53676468133926392</v>
      </c>
      <c r="O8" s="11">
        <v>0.1428571492433548</v>
      </c>
      <c r="P8" s="11">
        <v>0.1111111119389534</v>
      </c>
      <c r="Q8" s="2" t="s">
        <v>15</v>
      </c>
      <c r="R8" s="2"/>
      <c r="S8" s="2"/>
      <c r="T8" s="2"/>
      <c r="U8" s="2"/>
      <c r="V8" s="2"/>
      <c r="W8" s="2"/>
      <c r="X8" s="2"/>
      <c r="Y8" s="2"/>
      <c r="Z8" s="2"/>
    </row>
    <row r="9" spans="1:26" ht="12.75" customHeight="1" x14ac:dyDescent="0.25">
      <c r="A9" s="2" t="s">
        <v>25</v>
      </c>
      <c r="B9" s="9">
        <v>6.4447855949401855</v>
      </c>
      <c r="C9" s="10">
        <v>17.5</v>
      </c>
      <c r="D9" s="11">
        <v>0.2222222238779068</v>
      </c>
      <c r="E9" s="11">
        <v>0.34848484396934509</v>
      </c>
      <c r="F9" s="11">
        <v>0.10606060922145844</v>
      </c>
      <c r="G9" s="11">
        <v>0.13636364042758942</v>
      </c>
      <c r="H9" s="11">
        <v>0.70769232511520386</v>
      </c>
      <c r="I9" s="11">
        <v>0.5</v>
      </c>
      <c r="J9" s="11">
        <v>0.53846156597137451</v>
      </c>
      <c r="K9" s="3">
        <v>1.5681818723678589</v>
      </c>
      <c r="L9" s="11">
        <v>0.27272728085517883</v>
      </c>
      <c r="M9" s="11">
        <v>0.890625</v>
      </c>
      <c r="N9" s="11">
        <v>0.5</v>
      </c>
      <c r="O9" s="11">
        <v>0.58333331346511841</v>
      </c>
      <c r="P9" s="11">
        <v>0.69230771064758301</v>
      </c>
      <c r="Q9" s="2" t="s">
        <v>26</v>
      </c>
      <c r="R9" s="2"/>
      <c r="S9" s="2"/>
      <c r="T9" s="2"/>
      <c r="U9" s="2"/>
      <c r="V9" s="2"/>
      <c r="W9" s="2"/>
      <c r="X9" s="2"/>
      <c r="Y9" s="2"/>
      <c r="Z9" s="2"/>
    </row>
    <row r="10" spans="1:26" ht="12.75" customHeight="1" x14ac:dyDescent="0.25">
      <c r="A10" s="2" t="s">
        <v>23</v>
      </c>
      <c r="B10" s="9">
        <v>6.9163756370544434</v>
      </c>
      <c r="C10" s="10">
        <v>30</v>
      </c>
      <c r="D10" s="11">
        <v>0.42076501250267029</v>
      </c>
      <c r="E10" s="11">
        <v>0.12999999523162842</v>
      </c>
      <c r="F10" s="11">
        <v>0.10999999940395355</v>
      </c>
      <c r="G10" s="11">
        <v>0.12999999523162842</v>
      </c>
      <c r="H10" s="11">
        <v>0.64102566242218018</v>
      </c>
      <c r="I10" s="11">
        <v>0.5</v>
      </c>
      <c r="J10" s="11">
        <v>0.55434781312942505</v>
      </c>
      <c r="K10" s="3">
        <v>1.837837815284729</v>
      </c>
      <c r="L10" s="11">
        <v>0.10810811072587967</v>
      </c>
      <c r="M10" s="11">
        <v>0.8729282021522522</v>
      </c>
      <c r="N10" s="11">
        <v>0.57608693838119507</v>
      </c>
      <c r="O10" s="11">
        <v>8.3333335816860199E-2</v>
      </c>
      <c r="P10" s="11">
        <v>0.87179487943649292</v>
      </c>
      <c r="Q10" s="2" t="s">
        <v>24</v>
      </c>
      <c r="R10" s="2"/>
      <c r="S10" s="2"/>
      <c r="T10" s="2"/>
      <c r="U10" s="2"/>
      <c r="V10" s="2"/>
      <c r="W10" s="2"/>
      <c r="X10" s="2"/>
      <c r="Y10" s="2"/>
      <c r="Z10" s="2"/>
    </row>
    <row r="11" spans="1:26" ht="12.75" customHeight="1" x14ac:dyDescent="0.25">
      <c r="A11" s="2" t="s">
        <v>27</v>
      </c>
      <c r="B11" s="9">
        <v>6.3115978240966797</v>
      </c>
      <c r="C11" s="10">
        <v>45</v>
      </c>
      <c r="D11" s="11">
        <v>0.41904762387275696</v>
      </c>
      <c r="E11" s="11">
        <v>0.25396826863288879</v>
      </c>
      <c r="F11" s="11">
        <v>0.1746031790971756</v>
      </c>
      <c r="G11" s="11">
        <v>0.2222222238779068</v>
      </c>
      <c r="H11" s="11">
        <v>0.66666668653488159</v>
      </c>
      <c r="I11" s="11">
        <v>0.4716981053352356</v>
      </c>
      <c r="J11" s="11">
        <v>0.58490568399429321</v>
      </c>
      <c r="K11" s="3">
        <v>1.8297872543334961</v>
      </c>
      <c r="L11" s="11">
        <v>0.21276596188545227</v>
      </c>
      <c r="M11" s="11">
        <v>0.7766990065574646</v>
      </c>
      <c r="N11" s="11">
        <v>0.60377359390258789</v>
      </c>
      <c r="O11" s="11">
        <v>0.4117647111415863</v>
      </c>
      <c r="P11" s="11">
        <v>0.6904761791229248</v>
      </c>
      <c r="Q11" s="2" t="s">
        <v>24</v>
      </c>
      <c r="R11" s="2"/>
      <c r="S11" s="2"/>
      <c r="T11" s="2"/>
      <c r="U11" s="2"/>
      <c r="V11" s="2"/>
      <c r="W11" s="2"/>
      <c r="X11" s="2"/>
      <c r="Y11" s="2"/>
      <c r="Z11" s="2"/>
    </row>
    <row r="12" spans="1:26" ht="12.75" customHeight="1" x14ac:dyDescent="0.25">
      <c r="A12" s="2" t="s">
        <v>28</v>
      </c>
      <c r="B12" s="9">
        <v>6.7058224678039551</v>
      </c>
      <c r="C12" s="10">
        <v>30</v>
      </c>
      <c r="D12" s="11">
        <v>0.38317757844924927</v>
      </c>
      <c r="E12" s="11">
        <v>0.13333334028720856</v>
      </c>
      <c r="F12" s="11">
        <v>1.666666753590107E-2</v>
      </c>
      <c r="G12" s="11">
        <v>0.23333333432674408</v>
      </c>
      <c r="H12" s="11">
        <v>0.78723406791687012</v>
      </c>
      <c r="I12" s="11">
        <v>0.47272726893424988</v>
      </c>
      <c r="J12" s="11">
        <v>0.49090909957885742</v>
      </c>
      <c r="K12" s="3">
        <v>1.7111110687255859</v>
      </c>
      <c r="L12" s="11">
        <v>0.17777778208255768</v>
      </c>
      <c r="M12" s="11">
        <v>0.77570092678070068</v>
      </c>
      <c r="N12" s="11">
        <v>0.5727272629737854</v>
      </c>
      <c r="O12" s="11">
        <v>0.17647059261798859</v>
      </c>
      <c r="P12" s="11">
        <v>0.76595747470855713</v>
      </c>
      <c r="Q12" s="2" t="s">
        <v>26</v>
      </c>
      <c r="R12" s="2"/>
      <c r="S12" s="2"/>
      <c r="T12" s="2"/>
      <c r="U12" s="2"/>
      <c r="V12" s="2"/>
      <c r="W12" s="2"/>
      <c r="X12" s="2"/>
      <c r="Y12" s="2"/>
      <c r="Z12" s="2"/>
    </row>
    <row r="13" spans="1:26" ht="12.75" customHeight="1" x14ac:dyDescent="0.25">
      <c r="A13" s="2" t="s">
        <v>30</v>
      </c>
      <c r="B13" s="9">
        <v>6.8874082565307617</v>
      </c>
      <c r="C13" s="10">
        <v>30</v>
      </c>
      <c r="D13" s="11">
        <v>0.37068966031074524</v>
      </c>
      <c r="E13" s="11">
        <v>9.2307694256305695E-2</v>
      </c>
      <c r="F13" s="11">
        <v>0.13846154510974884</v>
      </c>
      <c r="G13" s="11">
        <v>0.27692309021949768</v>
      </c>
      <c r="H13" s="11">
        <v>0.74603176116943359</v>
      </c>
      <c r="I13" s="11">
        <v>0.51694917678833008</v>
      </c>
      <c r="J13" s="11">
        <v>0.50847458839416504</v>
      </c>
      <c r="K13" s="3">
        <v>1.4516129493713379</v>
      </c>
      <c r="L13" s="11">
        <v>0.30645161867141724</v>
      </c>
      <c r="M13" s="11">
        <v>0.77586209774017334</v>
      </c>
      <c r="N13" s="11">
        <v>0.46610170602798462</v>
      </c>
      <c r="O13" s="11">
        <v>0.20000000298023224</v>
      </c>
      <c r="P13" s="11">
        <v>0.53968256711959839</v>
      </c>
      <c r="Q13" s="2" t="s">
        <v>15</v>
      </c>
      <c r="R13" s="2"/>
      <c r="S13" s="2"/>
      <c r="T13" s="2"/>
      <c r="U13" s="2"/>
      <c r="V13" s="2"/>
      <c r="W13" s="2"/>
      <c r="X13" s="2"/>
      <c r="Y13" s="2"/>
      <c r="Z13" s="2"/>
    </row>
    <row r="14" spans="1:26" ht="12.75" customHeight="1" x14ac:dyDescent="0.25">
      <c r="A14" s="2" t="s">
        <v>32</v>
      </c>
      <c r="B14" s="9">
        <v>6.886512279510498</v>
      </c>
      <c r="C14" s="10">
        <v>17.5</v>
      </c>
      <c r="D14" s="11">
        <v>0.24475523829460144</v>
      </c>
      <c r="E14" s="11">
        <v>0.28169015049934387</v>
      </c>
      <c r="F14" s="11">
        <v>0.25352111458778381</v>
      </c>
      <c r="G14" s="11">
        <v>0.29577463865280151</v>
      </c>
      <c r="H14" s="11">
        <v>0.6111111044883728</v>
      </c>
      <c r="I14" s="11">
        <v>0.50675678253173828</v>
      </c>
      <c r="J14" s="11">
        <v>0.52702701091766357</v>
      </c>
      <c r="K14" s="3">
        <v>1.3999999761581421</v>
      </c>
      <c r="L14" s="11">
        <v>0.44999998807907104</v>
      </c>
      <c r="M14" s="11">
        <v>0.77857142686843872</v>
      </c>
      <c r="N14" s="11">
        <v>0.51351350545883179</v>
      </c>
      <c r="O14" s="11">
        <v>0.10344827920198441</v>
      </c>
      <c r="P14" s="11">
        <v>0.75</v>
      </c>
      <c r="Q14" s="2" t="s">
        <v>15</v>
      </c>
      <c r="R14" s="2"/>
      <c r="S14" s="2"/>
      <c r="T14" s="2"/>
      <c r="U14" s="2"/>
      <c r="V14" s="2"/>
      <c r="W14" s="2"/>
      <c r="X14" s="2"/>
      <c r="Y14" s="2"/>
      <c r="Z14" s="2"/>
    </row>
    <row r="15" spans="1:26" ht="12.75" customHeight="1" x14ac:dyDescent="0.25">
      <c r="A15" s="2" t="s">
        <v>31</v>
      </c>
      <c r="B15" s="9">
        <v>5.8808012008666992</v>
      </c>
      <c r="C15" s="10">
        <v>12</v>
      </c>
      <c r="D15" s="11">
        <v>0.29203540086746216</v>
      </c>
      <c r="E15" s="11">
        <v>0.359375</v>
      </c>
      <c r="F15" s="11">
        <v>0.34375</v>
      </c>
      <c r="G15" s="11">
        <v>0.34375</v>
      </c>
      <c r="H15" s="11">
        <v>0.78333336114883423</v>
      </c>
      <c r="I15" s="11">
        <v>0.42982456088066101</v>
      </c>
      <c r="J15" s="11">
        <v>0.52631580829620361</v>
      </c>
      <c r="K15" s="3">
        <v>1.7666666507720947</v>
      </c>
      <c r="L15" s="11">
        <v>0.1666666716337204</v>
      </c>
      <c r="M15" s="11">
        <v>0.75229358673095703</v>
      </c>
      <c r="N15" s="11">
        <v>0.47368422150611877</v>
      </c>
      <c r="O15" s="11">
        <v>0.31578946113586426</v>
      </c>
      <c r="P15" s="11">
        <v>0.86666667461395264</v>
      </c>
      <c r="Q15" s="2" t="s">
        <v>18</v>
      </c>
      <c r="R15" s="2"/>
      <c r="S15" s="2"/>
      <c r="T15" s="2"/>
      <c r="U15" s="2"/>
      <c r="V15" s="2"/>
      <c r="W15" s="2"/>
      <c r="X15" s="2"/>
      <c r="Y15" s="2"/>
      <c r="Z15" s="2"/>
    </row>
    <row r="16" spans="1:26" ht="12.75" customHeight="1" x14ac:dyDescent="0.25">
      <c r="A16" s="2" t="s">
        <v>33</v>
      </c>
      <c r="B16" s="9">
        <v>6.466339111328125</v>
      </c>
      <c r="C16" s="10">
        <v>12</v>
      </c>
      <c r="D16" s="11">
        <v>0.32222223281860352</v>
      </c>
      <c r="E16" s="11">
        <v>0.24271844327449799</v>
      </c>
      <c r="F16" s="11">
        <v>0.25242719054222107</v>
      </c>
      <c r="G16" s="11">
        <v>0.32038834691047668</v>
      </c>
      <c r="H16" s="11">
        <v>0.71764707565307617</v>
      </c>
      <c r="I16" s="11">
        <v>0.51351350545883179</v>
      </c>
      <c r="J16" s="11">
        <v>0.59459459781646729</v>
      </c>
      <c r="K16" s="3">
        <v>1.5833333730697632</v>
      </c>
      <c r="L16" s="11">
        <v>0.25</v>
      </c>
      <c r="M16" s="11">
        <v>0.82022470235824585</v>
      </c>
      <c r="N16" s="11">
        <v>0.54054051637649536</v>
      </c>
      <c r="O16" s="11">
        <v>0.31818181276321411</v>
      </c>
      <c r="P16" s="11">
        <v>0.74117648601531982</v>
      </c>
      <c r="Q16" s="2" t="s">
        <v>26</v>
      </c>
      <c r="R16" s="2"/>
      <c r="S16" s="2"/>
      <c r="T16" s="2"/>
      <c r="U16" s="2"/>
      <c r="V16" s="2"/>
      <c r="W16" s="2"/>
      <c r="X16" s="2"/>
      <c r="Y16" s="2"/>
      <c r="Z16" s="2"/>
    </row>
    <row r="17" spans="1:26" ht="12.75" customHeight="1" x14ac:dyDescent="0.25">
      <c r="A17" s="2" t="s">
        <v>34</v>
      </c>
      <c r="B17" s="9">
        <v>6.3623270988464355</v>
      </c>
      <c r="C17" s="10">
        <v>30</v>
      </c>
      <c r="D17" s="11">
        <v>0.26143792271614075</v>
      </c>
      <c r="E17" s="11">
        <v>0.3928571343421936</v>
      </c>
      <c r="F17" s="11">
        <v>0.2738095223903656</v>
      </c>
      <c r="G17" s="11">
        <v>0.28571429848670959</v>
      </c>
      <c r="H17" s="11">
        <v>0.67105263471603394</v>
      </c>
      <c r="I17" s="11">
        <v>0.56774193048477173</v>
      </c>
      <c r="J17" s="11">
        <v>0.52903223037719727</v>
      </c>
      <c r="K17" s="3">
        <v>1.5777777433395386</v>
      </c>
      <c r="L17" s="11">
        <v>0.31111112236976624</v>
      </c>
      <c r="M17" s="11">
        <v>0.86842107772827148</v>
      </c>
      <c r="N17" s="11">
        <v>0.50967741012573242</v>
      </c>
      <c r="O17" s="11">
        <v>0.4523809552192688</v>
      </c>
      <c r="P17" s="11">
        <v>0.63157892227172852</v>
      </c>
      <c r="Q17" s="2" t="s">
        <v>35</v>
      </c>
      <c r="R17" s="2"/>
      <c r="S17" s="2"/>
      <c r="T17" s="2"/>
      <c r="U17" s="2"/>
      <c r="V17" s="2"/>
      <c r="W17" s="2"/>
      <c r="X17" s="2"/>
      <c r="Y17" s="2"/>
      <c r="Z17" s="2"/>
    </row>
    <row r="18" spans="1:26" ht="12.75" customHeight="1" x14ac:dyDescent="0.25">
      <c r="A18" s="2" t="s">
        <v>36</v>
      </c>
      <c r="B18" s="9">
        <v>6.6234521865844727</v>
      </c>
      <c r="C18" s="10">
        <v>20.5</v>
      </c>
      <c r="D18" s="11">
        <v>0.25742575526237488</v>
      </c>
      <c r="E18" s="11">
        <v>0.34782609343528748</v>
      </c>
      <c r="F18" s="11">
        <v>0.28260868787765503</v>
      </c>
      <c r="G18" s="11">
        <v>0.41304346919059753</v>
      </c>
      <c r="H18" s="11">
        <v>0.63157892227172852</v>
      </c>
      <c r="I18" s="11">
        <v>0.48076921701431274</v>
      </c>
      <c r="J18" s="11">
        <v>0.55769228935241699</v>
      </c>
      <c r="K18" s="3">
        <v>2</v>
      </c>
      <c r="L18" s="11">
        <v>0.51724135875701904</v>
      </c>
      <c r="M18" s="11">
        <v>0.84848487377166748</v>
      </c>
      <c r="N18" s="11">
        <v>0.45192307233810425</v>
      </c>
      <c r="O18" s="11">
        <v>6.0606062412261963E-2</v>
      </c>
      <c r="P18" s="11">
        <v>0.77192980051040649</v>
      </c>
      <c r="Q18" s="2" t="s">
        <v>35</v>
      </c>
      <c r="R18" s="2"/>
      <c r="S18" s="2"/>
      <c r="T18" s="2"/>
      <c r="U18" s="2"/>
      <c r="V18" s="2"/>
      <c r="W18" s="2"/>
      <c r="X18" s="2"/>
      <c r="Y18" s="2"/>
      <c r="Z18" s="2"/>
    </row>
    <row r="19" spans="1:26" ht="12.75" customHeight="1" x14ac:dyDescent="0.25">
      <c r="A19" s="2" t="s">
        <v>37</v>
      </c>
      <c r="B19" s="9">
        <v>6.9910621643066406</v>
      </c>
      <c r="C19" s="10">
        <v>30</v>
      </c>
      <c r="D19" s="11">
        <v>0.44360902905464172</v>
      </c>
      <c r="E19" s="11">
        <v>0.16049382090568542</v>
      </c>
      <c r="F19" s="11">
        <v>0.14814814925193787</v>
      </c>
      <c r="G19" s="11">
        <v>0.18518517911434174</v>
      </c>
      <c r="H19" s="11">
        <v>0.72580647468566895</v>
      </c>
      <c r="I19" s="11">
        <v>0.51851850748062134</v>
      </c>
      <c r="J19" s="11">
        <v>0.50370371341705322</v>
      </c>
      <c r="K19" s="3">
        <v>1.7142857313156128</v>
      </c>
      <c r="L19" s="11">
        <v>0.3095238208770752</v>
      </c>
      <c r="M19" s="11">
        <v>0.79259258508682251</v>
      </c>
      <c r="N19" s="11">
        <v>0.5407407283782959</v>
      </c>
      <c r="O19" s="11">
        <v>0.1304347813129425</v>
      </c>
      <c r="P19" s="11">
        <v>0.54838711023330688</v>
      </c>
      <c r="Q19" s="2" t="s">
        <v>18</v>
      </c>
      <c r="R19" s="2"/>
      <c r="S19" s="2"/>
      <c r="T19" s="2"/>
      <c r="U19" s="2"/>
      <c r="V19" s="2"/>
      <c r="W19" s="2"/>
      <c r="X19" s="2"/>
      <c r="Y19" s="2"/>
      <c r="Z19" s="2"/>
    </row>
    <row r="20" spans="1:26" ht="12.75" customHeight="1" x14ac:dyDescent="0.25">
      <c r="A20" s="2" t="s">
        <v>38</v>
      </c>
      <c r="B20" s="9">
        <v>6.3238658905029297</v>
      </c>
      <c r="C20" s="10">
        <v>30</v>
      </c>
      <c r="D20" s="11">
        <v>0.31288343667984009</v>
      </c>
      <c r="E20" s="11">
        <v>0.30000001192092896</v>
      </c>
      <c r="F20" s="11">
        <v>0.2222222238779068</v>
      </c>
      <c r="G20" s="11">
        <v>0.26666668057441711</v>
      </c>
      <c r="H20" s="11">
        <v>0.61538463830947876</v>
      </c>
      <c r="I20" s="11">
        <v>0.52121210098266602</v>
      </c>
      <c r="J20" s="11">
        <v>0.50909090042114258</v>
      </c>
      <c r="K20" s="3">
        <v>1.8181818723678589</v>
      </c>
      <c r="L20" s="11">
        <v>0.16363635659217834</v>
      </c>
      <c r="M20" s="11">
        <v>0.79374998807907104</v>
      </c>
      <c r="N20" s="11">
        <v>0.44848483800888062</v>
      </c>
      <c r="O20" s="11">
        <v>0.190476194024086</v>
      </c>
      <c r="P20" s="11">
        <v>0.63736265897750854</v>
      </c>
      <c r="Q20" s="2" t="s">
        <v>24</v>
      </c>
      <c r="R20" s="2"/>
      <c r="S20" s="2"/>
      <c r="T20" s="2"/>
      <c r="U20" s="2"/>
      <c r="V20" s="2"/>
      <c r="W20" s="2"/>
      <c r="X20" s="2"/>
      <c r="Y20" s="2"/>
      <c r="Z20" s="2"/>
    </row>
    <row r="21" spans="1:26" ht="12.75" customHeight="1" x14ac:dyDescent="0.25">
      <c r="A21" s="2" t="s">
        <v>39</v>
      </c>
      <c r="B21" s="9">
        <v>6.9512653350830078</v>
      </c>
      <c r="C21" s="10">
        <v>20</v>
      </c>
      <c r="D21" s="11">
        <v>0.35593220591545105</v>
      </c>
      <c r="E21" s="11">
        <v>0.24637681245803833</v>
      </c>
      <c r="F21" s="11">
        <v>0.15942029654979706</v>
      </c>
      <c r="G21" s="11">
        <v>0.24637681245803833</v>
      </c>
      <c r="H21" s="11">
        <v>0.67857140302658081</v>
      </c>
      <c r="I21" s="11">
        <v>0.53389829397201538</v>
      </c>
      <c r="J21" s="11">
        <v>0.66949152946472168</v>
      </c>
      <c r="K21" s="3">
        <v>1.4821428060531616</v>
      </c>
      <c r="L21" s="11">
        <v>0.3214285671710968</v>
      </c>
      <c r="M21" s="11">
        <v>0.82905983924865723</v>
      </c>
      <c r="N21" s="11">
        <v>0.52542370557785034</v>
      </c>
      <c r="O21" s="11">
        <v>0.20000000298023224</v>
      </c>
      <c r="P21" s="11">
        <v>0.5</v>
      </c>
      <c r="Q21" s="2" t="s">
        <v>15</v>
      </c>
      <c r="R21" s="2"/>
      <c r="S21" s="2"/>
      <c r="T21" s="2"/>
      <c r="U21" s="2"/>
      <c r="V21" s="2"/>
      <c r="W21" s="2"/>
      <c r="X21" s="2"/>
      <c r="Y21" s="2"/>
      <c r="Z21" s="2"/>
    </row>
    <row r="22" spans="1:26" ht="12.75" customHeight="1" x14ac:dyDescent="0.25">
      <c r="A22" s="2" t="s">
        <v>40</v>
      </c>
      <c r="B22" s="9">
        <v>5.830174446105957</v>
      </c>
      <c r="C22" s="10">
        <v>20</v>
      </c>
      <c r="D22" s="11">
        <v>0.38333332538604736</v>
      </c>
      <c r="E22" s="11">
        <v>0.25675675272941589</v>
      </c>
      <c r="F22" s="11">
        <v>0.22972972691059113</v>
      </c>
      <c r="G22" s="11">
        <v>0.32432430982589722</v>
      </c>
      <c r="H22" s="11">
        <v>0.62121212482452393</v>
      </c>
      <c r="I22" s="11">
        <v>0.51639342308044434</v>
      </c>
      <c r="J22" s="11">
        <v>0.58196723461151123</v>
      </c>
      <c r="K22" s="3">
        <v>1.7999999523162842</v>
      </c>
      <c r="L22" s="11">
        <v>0.24444444477558136</v>
      </c>
      <c r="M22" s="11">
        <v>0.66949152946472168</v>
      </c>
      <c r="N22" s="11">
        <v>0.45901638269424438</v>
      </c>
      <c r="O22" s="11">
        <v>0.5</v>
      </c>
      <c r="P22" s="11">
        <v>0.63636362552642822</v>
      </c>
      <c r="Q22" s="2" t="s">
        <v>35</v>
      </c>
      <c r="R22" s="2"/>
      <c r="S22" s="2"/>
      <c r="T22" s="2"/>
      <c r="U22" s="2"/>
      <c r="V22" s="2"/>
      <c r="W22" s="2"/>
      <c r="X22" s="2"/>
      <c r="Y22" s="2"/>
      <c r="Z22" s="2"/>
    </row>
    <row r="23" spans="1:26" ht="12.75" customHeight="1" x14ac:dyDescent="0.25">
      <c r="A23" s="2" t="s">
        <v>76</v>
      </c>
      <c r="B23" s="9">
        <v>6.6469860076904297</v>
      </c>
      <c r="C23" s="10">
        <v>14</v>
      </c>
      <c r="D23" s="11">
        <v>0.28607594966888428</v>
      </c>
      <c r="E23" s="11">
        <v>0.19018404185771942</v>
      </c>
      <c r="F23" s="11">
        <v>8.5889570415019989E-2</v>
      </c>
      <c r="G23" s="11">
        <v>0.1840490847826004</v>
      </c>
      <c r="H23" s="11">
        <v>0.67010307312011719</v>
      </c>
      <c r="I23" s="11">
        <v>0.46482411026954651</v>
      </c>
      <c r="J23" s="11">
        <v>0.59798997640609741</v>
      </c>
      <c r="K23" s="3">
        <v>1.7323943376541138</v>
      </c>
      <c r="L23" s="11">
        <v>0.47887325286865234</v>
      </c>
      <c r="M23" s="11">
        <v>0.85347044467926025</v>
      </c>
      <c r="N23" s="11">
        <v>0.51256281137466431</v>
      </c>
      <c r="O23" s="11">
        <v>0.51219511032104492</v>
      </c>
      <c r="P23" s="11">
        <v>0.8814433217048645</v>
      </c>
      <c r="Q23" s="2" t="s">
        <v>24</v>
      </c>
      <c r="R23" s="2"/>
      <c r="S23" s="2"/>
      <c r="T23" s="2"/>
      <c r="U23" s="2"/>
      <c r="V23" s="2"/>
      <c r="W23" s="2"/>
      <c r="X23" s="2"/>
      <c r="Y23" s="2"/>
      <c r="Z23" s="2"/>
    </row>
    <row r="24" spans="1:26" ht="12.75" customHeight="1" x14ac:dyDescent="0.25">
      <c r="A24" s="2" t="s">
        <v>41</v>
      </c>
      <c r="B24" s="9">
        <v>6.1840529441833496</v>
      </c>
      <c r="C24" s="10">
        <v>30</v>
      </c>
      <c r="D24" s="11">
        <v>0.31372550129890442</v>
      </c>
      <c r="E24" s="11">
        <v>0.3035714328289032</v>
      </c>
      <c r="F24" s="11">
        <v>0.1071428582072258</v>
      </c>
      <c r="G24" s="11">
        <v>0.1785714328289032</v>
      </c>
      <c r="H24" s="11">
        <v>0.75555557012557983</v>
      </c>
      <c r="I24" s="11">
        <v>0.56310677528381348</v>
      </c>
      <c r="J24" s="11">
        <v>0.58252429962158203</v>
      </c>
      <c r="K24" s="3">
        <v>1.8048779964447021</v>
      </c>
      <c r="L24" s="11">
        <v>0.20000000298023224</v>
      </c>
      <c r="M24" s="11">
        <v>0.77227723598480225</v>
      </c>
      <c r="N24" s="11">
        <v>0.56310677528381348</v>
      </c>
      <c r="O24" s="11">
        <v>0.3571428656578064</v>
      </c>
      <c r="P24" s="11">
        <v>0.77777779102325439</v>
      </c>
      <c r="Q24" s="2" t="s">
        <v>18</v>
      </c>
      <c r="R24" s="2"/>
      <c r="S24" s="2"/>
      <c r="T24" s="2"/>
      <c r="U24" s="2"/>
      <c r="V24" s="2"/>
      <c r="W24" s="2"/>
      <c r="X24" s="2"/>
      <c r="Y24" s="2"/>
      <c r="Z24" s="2"/>
    </row>
    <row r="25" spans="1:26" ht="12.75" customHeight="1" x14ac:dyDescent="0.25">
      <c r="A25" s="2" t="s">
        <v>42</v>
      </c>
      <c r="B25" s="9">
        <v>7.532620906829834</v>
      </c>
      <c r="C25" s="10">
        <v>15</v>
      </c>
      <c r="D25" s="11">
        <v>0.52173912525177002</v>
      </c>
      <c r="E25" s="11">
        <v>0.13414634764194489</v>
      </c>
      <c r="F25" s="11">
        <v>0.15853658318519592</v>
      </c>
      <c r="G25" s="11">
        <v>0.17073170840740204</v>
      </c>
      <c r="H25" s="11">
        <v>0.48076921701431274</v>
      </c>
      <c r="I25" s="11">
        <v>0.54700857400894165</v>
      </c>
      <c r="J25" s="11">
        <v>0.59829062223434448</v>
      </c>
      <c r="K25" s="3">
        <v>1.559999942779541</v>
      </c>
      <c r="L25" s="11">
        <v>0.40000000596046448</v>
      </c>
      <c r="M25" s="11">
        <v>0.83478260040283203</v>
      </c>
      <c r="N25" s="11">
        <v>0.55555558204650879</v>
      </c>
      <c r="O25" s="11">
        <v>0.125</v>
      </c>
      <c r="P25" s="11">
        <v>0.4038461446762085</v>
      </c>
      <c r="Q25" s="2" t="s">
        <v>21</v>
      </c>
      <c r="R25" s="2"/>
      <c r="S25" s="2"/>
      <c r="T25" s="2"/>
      <c r="U25" s="2"/>
      <c r="V25" s="2"/>
      <c r="W25" s="2"/>
      <c r="X25" s="2"/>
      <c r="Y25" s="2"/>
      <c r="Z25" s="2"/>
    </row>
    <row r="26" spans="1:26" ht="12.75" customHeight="1" x14ac:dyDescent="0.25">
      <c r="A26" s="2" t="s">
        <v>43</v>
      </c>
      <c r="B26" s="9">
        <v>6.7237749099731445</v>
      </c>
      <c r="C26" s="10">
        <v>15</v>
      </c>
      <c r="D26" s="11">
        <v>0.4345238208770752</v>
      </c>
      <c r="E26" s="11">
        <v>0.26666668057441711</v>
      </c>
      <c r="F26" s="11">
        <v>0.21904762089252472</v>
      </c>
      <c r="G26" s="11">
        <v>0.25238096714019775</v>
      </c>
      <c r="H26" s="11">
        <v>0.61904764175415039</v>
      </c>
      <c r="I26" s="11">
        <v>0.56432747840881348</v>
      </c>
      <c r="J26" s="11">
        <v>0.56432747840881348</v>
      </c>
      <c r="K26" s="3">
        <v>1.7380952835083008</v>
      </c>
      <c r="L26" s="11">
        <v>0.1428571492433548</v>
      </c>
      <c r="M26" s="11">
        <v>0.81818181276321411</v>
      </c>
      <c r="N26" s="11">
        <v>0.5701754093170166</v>
      </c>
      <c r="O26" s="11">
        <v>0.17241379618644714</v>
      </c>
      <c r="P26" s="11">
        <v>0.45578232407569885</v>
      </c>
      <c r="Q26" s="2" t="s">
        <v>21</v>
      </c>
      <c r="R26" s="2"/>
      <c r="S26" s="2"/>
      <c r="T26" s="2"/>
      <c r="U26" s="2"/>
      <c r="V26" s="2"/>
      <c r="W26" s="2"/>
      <c r="X26" s="2"/>
      <c r="Y26" s="2"/>
      <c r="Z26" s="2"/>
    </row>
    <row r="27" spans="1:26" ht="12.75" customHeight="1" x14ac:dyDescent="0.25">
      <c r="A27" s="2" t="s">
        <v>44</v>
      </c>
      <c r="B27" s="9">
        <v>5.5522527694702148</v>
      </c>
      <c r="C27" s="10">
        <v>30</v>
      </c>
      <c r="D27" s="11">
        <v>0.17322835326194763</v>
      </c>
      <c r="E27" s="11">
        <v>0.48333331942558289</v>
      </c>
      <c r="F27" s="11">
        <v>0.34999999403953552</v>
      </c>
      <c r="G27" s="11">
        <v>0.30000001192092896</v>
      </c>
      <c r="H27" s="11">
        <v>0.58730161190032959</v>
      </c>
      <c r="I27" s="11">
        <v>0.5625</v>
      </c>
      <c r="J27" s="11">
        <v>0.5546875</v>
      </c>
      <c r="K27" s="3">
        <v>1.6538461446762085</v>
      </c>
      <c r="L27" s="11">
        <v>0.19230769574642181</v>
      </c>
      <c r="M27" s="11">
        <v>0.70866143703460693</v>
      </c>
      <c r="N27" s="11">
        <v>0.5078125</v>
      </c>
      <c r="O27" s="11">
        <v>0.55555558204650879</v>
      </c>
      <c r="P27" s="11">
        <v>0.4761904776096344</v>
      </c>
      <c r="Q27" s="2" t="s">
        <v>26</v>
      </c>
      <c r="R27" s="2"/>
      <c r="S27" s="2"/>
      <c r="T27" s="2"/>
      <c r="U27" s="2"/>
      <c r="V27" s="2"/>
      <c r="W27" s="2"/>
      <c r="X27" s="2"/>
      <c r="Y27" s="2"/>
      <c r="Z27" s="2"/>
    </row>
    <row r="28" spans="1:26" ht="12.75" customHeight="1" x14ac:dyDescent="0.25">
      <c r="A28" s="2" t="s">
        <v>45</v>
      </c>
      <c r="B28" s="9">
        <v>6.8252277374267578</v>
      </c>
      <c r="C28" s="10">
        <v>30</v>
      </c>
      <c r="D28" s="11">
        <v>0.27810651063919067</v>
      </c>
      <c r="E28" s="11">
        <v>0.19480518996715546</v>
      </c>
      <c r="F28" s="11">
        <v>0.15584415197372437</v>
      </c>
      <c r="G28" s="11">
        <v>0.22077922523021698</v>
      </c>
      <c r="H28" s="11">
        <v>0.65060240030288696</v>
      </c>
      <c r="I28" s="11">
        <v>0.42352941632270813</v>
      </c>
      <c r="J28" s="11">
        <v>0.61764705181121826</v>
      </c>
      <c r="K28" s="3">
        <v>1.7272727489471436</v>
      </c>
      <c r="L28" s="11">
        <v>0.39393940567970276</v>
      </c>
      <c r="M28" s="11">
        <v>0.83132529258728027</v>
      </c>
      <c r="N28" s="11">
        <v>0.51176470518112183</v>
      </c>
      <c r="O28" s="11">
        <v>0.13924050331115723</v>
      </c>
      <c r="P28" s="11">
        <v>0.89156627655029297</v>
      </c>
      <c r="Q28" s="2" t="s">
        <v>21</v>
      </c>
      <c r="R28" s="2"/>
      <c r="S28" s="2"/>
      <c r="T28" s="2"/>
      <c r="U28" s="2"/>
      <c r="V28" s="2"/>
      <c r="W28" s="2"/>
      <c r="X28" s="2"/>
      <c r="Y28" s="2"/>
      <c r="Z28" s="2"/>
    </row>
    <row r="29" spans="1:26" ht="12.75" customHeight="1" x14ac:dyDescent="0.25">
      <c r="A29" s="2" t="s">
        <v>46</v>
      </c>
      <c r="B29" s="9">
        <v>7.3406848907470703</v>
      </c>
      <c r="C29" s="10">
        <v>30</v>
      </c>
      <c r="D29" s="11">
        <v>0.45614033937454224</v>
      </c>
      <c r="E29" s="11">
        <v>9.8039217293262482E-2</v>
      </c>
      <c r="F29" s="11">
        <v>8.8235296308994293E-2</v>
      </c>
      <c r="G29" s="11">
        <v>9.8039217293262482E-2</v>
      </c>
      <c r="H29" s="11">
        <v>0.69696968793869019</v>
      </c>
      <c r="I29" s="11">
        <v>0.48850575089454651</v>
      </c>
      <c r="J29" s="11">
        <v>0.56321841478347778</v>
      </c>
      <c r="K29" s="3">
        <v>1.8444443941116333</v>
      </c>
      <c r="L29" s="11">
        <v>0.26666668057441711</v>
      </c>
      <c r="M29" s="11">
        <v>0.86904764175415039</v>
      </c>
      <c r="N29" s="11">
        <v>0.62068963050842285</v>
      </c>
      <c r="O29" s="11">
        <v>7.6923079788684845E-2</v>
      </c>
      <c r="P29" s="11">
        <v>0.46969696879386902</v>
      </c>
      <c r="Q29" s="2" t="s">
        <v>21</v>
      </c>
      <c r="R29" s="2"/>
      <c r="S29" s="2"/>
      <c r="T29" s="2"/>
      <c r="U29" s="2"/>
      <c r="V29" s="2"/>
      <c r="W29" s="2"/>
      <c r="X29" s="2"/>
      <c r="Y29" s="2"/>
      <c r="Z29" s="2"/>
    </row>
    <row r="30" spans="1:26" ht="12.75" customHeight="1" x14ac:dyDescent="0.25">
      <c r="A30" s="2" t="s">
        <v>47</v>
      </c>
      <c r="B30" s="9">
        <v>6.6511850357055664</v>
      </c>
      <c r="C30" s="10">
        <v>15</v>
      </c>
      <c r="D30" s="11">
        <v>0.44210526347160339</v>
      </c>
      <c r="E30" s="11">
        <v>0.21666666865348816</v>
      </c>
      <c r="F30" s="11">
        <v>6.6666670143604279E-2</v>
      </c>
      <c r="G30" s="11">
        <v>5.000000074505806E-2</v>
      </c>
      <c r="H30" s="11">
        <v>0.52083331346511841</v>
      </c>
      <c r="I30" s="11">
        <v>0.47999998927116394</v>
      </c>
      <c r="J30" s="11">
        <v>0.52999997138977051</v>
      </c>
      <c r="K30" s="3">
        <v>1.8947368860244751</v>
      </c>
      <c r="L30" s="11">
        <v>0.13513512909412384</v>
      </c>
      <c r="M30" s="11">
        <v>0.84693878889083862</v>
      </c>
      <c r="N30" s="11">
        <v>0.51999998092651367</v>
      </c>
      <c r="O30" s="11">
        <v>0.53846156597137451</v>
      </c>
      <c r="P30" s="11">
        <v>0.3541666567325592</v>
      </c>
      <c r="Q30" s="2" t="s">
        <v>15</v>
      </c>
      <c r="R30" s="2"/>
      <c r="S30" s="2"/>
      <c r="T30" s="2"/>
      <c r="U30" s="2"/>
      <c r="V30" s="2"/>
      <c r="W30" s="2"/>
      <c r="X30" s="2"/>
      <c r="Y30" s="2"/>
      <c r="Z30" s="2"/>
    </row>
    <row r="31" spans="1:26" ht="12.75" customHeight="1" x14ac:dyDescent="0.25">
      <c r="A31" s="2" t="s">
        <v>48</v>
      </c>
      <c r="B31" s="9">
        <v>5.9664735794067383</v>
      </c>
      <c r="C31" s="10">
        <v>12.5</v>
      </c>
      <c r="D31" s="11">
        <v>0.28846153616905212</v>
      </c>
      <c r="E31" s="11">
        <v>0.29411765933036804</v>
      </c>
      <c r="F31" s="11">
        <v>0.25490197539329529</v>
      </c>
      <c r="G31" s="11">
        <v>0.27450981736183167</v>
      </c>
      <c r="H31" s="11">
        <v>0.56363636255264282</v>
      </c>
      <c r="I31" s="11">
        <v>0.52380955219268799</v>
      </c>
      <c r="J31" s="11">
        <v>0.51428574323654175</v>
      </c>
      <c r="K31" s="3">
        <v>2</v>
      </c>
      <c r="L31" s="11">
        <v>0.1666666716337204</v>
      </c>
      <c r="M31" s="11">
        <v>0.82692307233810425</v>
      </c>
      <c r="N31" s="11">
        <v>0.4761904776096344</v>
      </c>
      <c r="O31" s="11">
        <v>0.4482758641242981</v>
      </c>
      <c r="P31" s="11">
        <v>0.7818182110786438</v>
      </c>
      <c r="Q31" s="2" t="s">
        <v>18</v>
      </c>
      <c r="R31" s="2"/>
      <c r="S31" s="2"/>
      <c r="T31" s="2"/>
      <c r="U31" s="2"/>
      <c r="V31" s="2"/>
      <c r="W31" s="2"/>
      <c r="X31" s="2"/>
      <c r="Y31" s="2"/>
      <c r="Z31" s="2"/>
    </row>
    <row r="32" spans="1:26" ht="12.75" customHeight="1" x14ac:dyDescent="0.25">
      <c r="A32" s="2" t="s">
        <v>49</v>
      </c>
      <c r="B32" s="9">
        <v>7.1712284088134766</v>
      </c>
      <c r="C32" s="10">
        <v>30</v>
      </c>
      <c r="D32" s="11">
        <v>0.38571429252624512</v>
      </c>
      <c r="E32" s="11">
        <v>7.8125E-2</v>
      </c>
      <c r="F32" s="11">
        <v>6.25E-2</v>
      </c>
      <c r="G32" s="11">
        <v>6.25E-2</v>
      </c>
      <c r="H32" s="11">
        <v>0.68831169605255127</v>
      </c>
      <c r="I32" s="11">
        <v>0.53191488981246948</v>
      </c>
      <c r="J32" s="11">
        <v>0.61702126264572144</v>
      </c>
      <c r="K32" s="3">
        <v>1.3913043737411499</v>
      </c>
      <c r="L32" s="11">
        <v>0.56521737575531006</v>
      </c>
      <c r="M32" s="11">
        <v>0.81159418821334839</v>
      </c>
      <c r="N32" s="11">
        <v>0.45390069484710693</v>
      </c>
      <c r="O32" s="11">
        <v>0.39393940567970276</v>
      </c>
      <c r="P32" s="11">
        <v>0.77922075986862183</v>
      </c>
      <c r="Q32" s="2" t="s">
        <v>21</v>
      </c>
      <c r="R32" s="2"/>
      <c r="S32" s="2"/>
      <c r="T32" s="2"/>
      <c r="U32" s="2"/>
      <c r="V32" s="2"/>
      <c r="W32" s="2"/>
      <c r="X32" s="2"/>
      <c r="Y32" s="2"/>
      <c r="Z32" s="2"/>
    </row>
    <row r="33" spans="1:26" ht="12.75" customHeight="1" x14ac:dyDescent="0.25">
      <c r="A33" s="2" t="s">
        <v>50</v>
      </c>
      <c r="B33" s="9">
        <v>6.0515551567077637</v>
      </c>
      <c r="C33" s="10">
        <v>30</v>
      </c>
      <c r="D33" s="11">
        <v>0.34883719682693481</v>
      </c>
      <c r="E33" s="11">
        <v>0.20000000298023224</v>
      </c>
      <c r="F33" s="11">
        <v>0.26666668057441711</v>
      </c>
      <c r="G33" s="11">
        <v>0.2800000011920929</v>
      </c>
      <c r="H33" s="11">
        <v>0.71428573131561279</v>
      </c>
      <c r="I33" s="11">
        <v>0.55384618043899536</v>
      </c>
      <c r="J33" s="11">
        <v>0.5615384578704834</v>
      </c>
      <c r="K33" s="3">
        <v>2</v>
      </c>
      <c r="L33" s="11">
        <v>0.22448979318141937</v>
      </c>
      <c r="M33" s="11">
        <v>0.80620157718658447</v>
      </c>
      <c r="N33" s="11">
        <v>0.51538461446762085</v>
      </c>
      <c r="O33" s="11">
        <v>0.4117647111415863</v>
      </c>
      <c r="P33" s="11">
        <v>0.71428573131561279</v>
      </c>
      <c r="Q33" s="2" t="s">
        <v>26</v>
      </c>
      <c r="R33" s="2"/>
      <c r="S33" s="2"/>
      <c r="T33" s="2"/>
      <c r="U33" s="2"/>
      <c r="V33" s="2"/>
      <c r="W33" s="2"/>
      <c r="X33" s="2"/>
      <c r="Y33" s="2"/>
      <c r="Z33" s="2"/>
    </row>
    <row r="34" spans="1:26" ht="12.75" customHeight="1" x14ac:dyDescent="0.25">
      <c r="A34" s="2" t="s">
        <v>51</v>
      </c>
      <c r="B34" s="9">
        <v>6.3529691696166992</v>
      </c>
      <c r="C34" s="10">
        <v>12</v>
      </c>
      <c r="D34" s="11">
        <v>0.26666668057441711</v>
      </c>
      <c r="E34" s="11">
        <v>0.39726027846336365</v>
      </c>
      <c r="F34" s="11">
        <v>0.16438356041908264</v>
      </c>
      <c r="G34" s="11">
        <v>0.17808219790458679</v>
      </c>
      <c r="H34" s="11">
        <v>0.61538463830947876</v>
      </c>
      <c r="I34" s="11">
        <v>0.54166668653488159</v>
      </c>
      <c r="J34" s="11">
        <v>0.60000002384185791</v>
      </c>
      <c r="K34" s="3">
        <v>1.7000000476837158</v>
      </c>
      <c r="L34" s="11">
        <v>0.40000000596046448</v>
      </c>
      <c r="M34" s="11">
        <v>0.88235294818878174</v>
      </c>
      <c r="N34" s="11">
        <v>0.56666666269302368</v>
      </c>
      <c r="O34" s="11">
        <v>0.66666668653488159</v>
      </c>
      <c r="P34" s="11">
        <v>0.76923078298568726</v>
      </c>
      <c r="Q34" s="2" t="s">
        <v>15</v>
      </c>
      <c r="R34" s="2"/>
      <c r="S34" s="2"/>
      <c r="T34" s="2"/>
      <c r="U34" s="2"/>
      <c r="V34" s="2"/>
      <c r="W34" s="2"/>
      <c r="X34" s="2"/>
      <c r="Y34" s="2"/>
      <c r="Z34" s="2"/>
    </row>
    <row r="35" spans="1:26" ht="12.75" customHeight="1" x14ac:dyDescent="0.25">
      <c r="A35" s="2" t="s">
        <v>52</v>
      </c>
      <c r="B35" s="9">
        <v>6.6641864776611328</v>
      </c>
      <c r="C35" s="10">
        <v>30</v>
      </c>
      <c r="D35" s="11">
        <v>0.40594059228897095</v>
      </c>
      <c r="E35" s="11">
        <v>0.18644067645072937</v>
      </c>
      <c r="F35" s="11">
        <v>0.18644067645072937</v>
      </c>
      <c r="G35" s="11">
        <v>0.20338982343673706</v>
      </c>
      <c r="H35" s="11">
        <v>0.6603773832321167</v>
      </c>
      <c r="I35" s="11">
        <v>0.51485151052474976</v>
      </c>
      <c r="J35" s="11">
        <v>0.57425743341445923</v>
      </c>
      <c r="K35" s="3">
        <v>1.8888888359069824</v>
      </c>
      <c r="L35" s="11">
        <v>0.29629629850387573</v>
      </c>
      <c r="M35" s="11">
        <v>0.80000001192092896</v>
      </c>
      <c r="N35" s="11">
        <v>0.47524753212928772</v>
      </c>
      <c r="O35" s="11">
        <v>0.1111111119389534</v>
      </c>
      <c r="P35" s="11">
        <v>0.83018869161605835</v>
      </c>
      <c r="Q35" s="2" t="s">
        <v>35</v>
      </c>
      <c r="R35" s="2"/>
      <c r="S35" s="2"/>
      <c r="T35" s="2"/>
      <c r="U35" s="2"/>
      <c r="V35" s="2"/>
      <c r="W35" s="2"/>
      <c r="X35" s="2"/>
      <c r="Y35" s="2"/>
      <c r="Z35" s="2"/>
    </row>
    <row r="36" spans="1:26" ht="12.75" customHeight="1" x14ac:dyDescent="0.25">
      <c r="A36" s="2" t="s">
        <v>53</v>
      </c>
      <c r="B36" s="9">
        <v>6.5661592483520508</v>
      </c>
      <c r="C36" s="10">
        <v>30</v>
      </c>
      <c r="D36" s="11">
        <v>0.375</v>
      </c>
      <c r="E36" s="11">
        <v>0.30303031206130981</v>
      </c>
      <c r="F36" s="11">
        <v>0.31818181276321411</v>
      </c>
      <c r="G36" s="11">
        <v>0.21212121844291687</v>
      </c>
      <c r="H36" s="11">
        <v>0.61666667461395264</v>
      </c>
      <c r="I36" s="11">
        <v>0.42452830076217651</v>
      </c>
      <c r="J36" s="11">
        <v>0.68867921829223633</v>
      </c>
      <c r="K36" s="3">
        <v>1.7000000476837158</v>
      </c>
      <c r="L36" s="11">
        <v>0.34999999403953552</v>
      </c>
      <c r="M36" s="11">
        <v>0.82857143878936768</v>
      </c>
      <c r="N36" s="11">
        <v>0.43396225571632385</v>
      </c>
      <c r="O36" s="11">
        <v>0.30769231915473938</v>
      </c>
      <c r="P36" s="11">
        <v>0.66666668653488159</v>
      </c>
      <c r="Q36" s="2" t="s">
        <v>18</v>
      </c>
      <c r="R36" s="2"/>
      <c r="S36" s="2"/>
      <c r="T36" s="2"/>
      <c r="U36" s="2"/>
      <c r="V36" s="2"/>
      <c r="W36" s="2"/>
      <c r="X36" s="2"/>
      <c r="Y36" s="2"/>
      <c r="Z36" s="2"/>
    </row>
    <row r="37" spans="1:26" ht="12.75" customHeight="1" x14ac:dyDescent="0.25">
      <c r="A37" s="2" t="s">
        <v>56</v>
      </c>
      <c r="B37" s="9">
        <v>6.2215695381164551</v>
      </c>
      <c r="C37" s="10">
        <v>26</v>
      </c>
      <c r="D37" s="11">
        <v>0.26573425531387329</v>
      </c>
      <c r="E37" s="11">
        <v>0.28378379344940186</v>
      </c>
      <c r="F37" s="11">
        <v>0.22972972691059113</v>
      </c>
      <c r="G37" s="11">
        <v>0.28378379344940186</v>
      </c>
      <c r="H37" s="11">
        <v>0.57971012592315674</v>
      </c>
      <c r="I37" s="11">
        <v>0.57534247636795044</v>
      </c>
      <c r="J37" s="11">
        <v>0.65068495273590088</v>
      </c>
      <c r="K37" s="3">
        <v>1.634615421295166</v>
      </c>
      <c r="L37" s="11">
        <v>0.21153846383094788</v>
      </c>
      <c r="M37" s="11">
        <v>0.8219178318977356</v>
      </c>
      <c r="N37" s="11">
        <v>0.5273972749710083</v>
      </c>
      <c r="O37" s="11">
        <v>0.4464285671710968</v>
      </c>
      <c r="P37" s="11">
        <v>0.59420287609100342</v>
      </c>
      <c r="Q37" s="2" t="s">
        <v>35</v>
      </c>
      <c r="R37" s="2"/>
      <c r="S37" s="2"/>
      <c r="T37" s="2"/>
      <c r="U37" s="2"/>
      <c r="V37" s="2"/>
      <c r="W37" s="2"/>
      <c r="X37" s="2"/>
      <c r="Y37" s="2"/>
      <c r="Z37" s="2"/>
    </row>
    <row r="38" spans="1:26" ht="12.75" customHeight="1" x14ac:dyDescent="0.25">
      <c r="A38" s="2" t="s">
        <v>54</v>
      </c>
      <c r="B38" s="9">
        <v>5.7354588508605957</v>
      </c>
      <c r="C38" s="10">
        <v>30</v>
      </c>
      <c r="D38" s="11">
        <v>0.16793893277645111</v>
      </c>
      <c r="E38" s="11">
        <v>0.44262295961380005</v>
      </c>
      <c r="F38" s="11">
        <v>0.42622950673103333</v>
      </c>
      <c r="G38" s="11">
        <v>0.47540983557701111</v>
      </c>
      <c r="H38" s="11">
        <v>0.67213112115859985</v>
      </c>
      <c r="I38" s="11">
        <v>0.49624061584472656</v>
      </c>
      <c r="J38" s="11">
        <v>0.54135340452194214</v>
      </c>
      <c r="K38" s="3">
        <v>1.6136363744735718</v>
      </c>
      <c r="L38" s="11">
        <v>9.0909093618392944E-2</v>
      </c>
      <c r="M38" s="11">
        <v>0.71428573131561279</v>
      </c>
      <c r="N38" s="11">
        <v>0.54135340452194214</v>
      </c>
      <c r="O38" s="11">
        <v>0.1111111119389534</v>
      </c>
      <c r="P38" s="11">
        <v>0.80327868461608887</v>
      </c>
      <c r="Q38" s="2" t="s">
        <v>18</v>
      </c>
      <c r="R38" s="2"/>
      <c r="S38" s="2"/>
      <c r="T38" s="2"/>
      <c r="U38" s="2"/>
      <c r="V38" s="2"/>
      <c r="W38" s="2"/>
      <c r="X38" s="2"/>
      <c r="Y38" s="2"/>
      <c r="Z38" s="2"/>
    </row>
    <row r="39" spans="1:26" ht="12.75" customHeight="1" x14ac:dyDescent="0.25">
      <c r="A39" s="2" t="s">
        <v>55</v>
      </c>
      <c r="B39" s="9">
        <v>6.7343997955322266</v>
      </c>
      <c r="C39" s="10">
        <v>30</v>
      </c>
      <c r="D39" s="11">
        <v>0.4038461446762085</v>
      </c>
      <c r="E39" s="11">
        <v>0.28169015049934387</v>
      </c>
      <c r="F39" s="11">
        <v>0.21126760542392731</v>
      </c>
      <c r="G39" s="11">
        <v>0.22535210847854614</v>
      </c>
      <c r="H39" s="11">
        <v>0.69090908765792847</v>
      </c>
      <c r="I39" s="11">
        <v>0.44761905074119568</v>
      </c>
      <c r="J39" s="11">
        <v>0.57142859697341919</v>
      </c>
      <c r="K39" s="3">
        <v>1.5</v>
      </c>
      <c r="L39" s="11">
        <v>0.2291666716337204</v>
      </c>
      <c r="M39" s="11">
        <v>0.81000000238418579</v>
      </c>
      <c r="N39" s="11">
        <v>0.4761904776096344</v>
      </c>
      <c r="O39" s="11">
        <v>0.26666668057441711</v>
      </c>
      <c r="P39" s="11">
        <v>0.56363636255264282</v>
      </c>
      <c r="Q39" s="2" t="s">
        <v>18</v>
      </c>
      <c r="R39" s="2"/>
      <c r="S39" s="2"/>
      <c r="T39" s="2"/>
      <c r="U39" s="2"/>
      <c r="V39" s="2"/>
      <c r="W39" s="2"/>
      <c r="X39" s="2"/>
      <c r="Y39" s="2"/>
      <c r="Z39" s="2"/>
    </row>
    <row r="40" spans="1:26" ht="12.75" customHeight="1" x14ac:dyDescent="0.25">
      <c r="A40" s="2" t="s">
        <v>57</v>
      </c>
      <c r="B40" s="9">
        <v>6.9708805084228516</v>
      </c>
      <c r="C40" s="10">
        <v>30</v>
      </c>
      <c r="D40" s="11">
        <v>0.36585366725921631</v>
      </c>
      <c r="E40" s="11">
        <v>0.20000000298023224</v>
      </c>
      <c r="F40" s="11">
        <v>0.20000000298023224</v>
      </c>
      <c r="G40" s="11">
        <v>0.22857142984867096</v>
      </c>
      <c r="H40" s="11">
        <v>0.70967739820480347</v>
      </c>
      <c r="I40" s="11">
        <v>0.47244095802307129</v>
      </c>
      <c r="J40" s="11">
        <v>0.55905508995056152</v>
      </c>
      <c r="K40" s="3">
        <v>1.4339622259140015</v>
      </c>
      <c r="L40" s="11">
        <v>0.48076921701431274</v>
      </c>
      <c r="M40" s="11">
        <v>0.78225809335708618</v>
      </c>
      <c r="N40" s="11">
        <v>0.5118110179901123</v>
      </c>
      <c r="O40" s="11">
        <v>0.28571429848670959</v>
      </c>
      <c r="P40" s="11">
        <v>0.58064514398574829</v>
      </c>
      <c r="Q40" s="2" t="s">
        <v>15</v>
      </c>
      <c r="R40" s="2"/>
      <c r="S40" s="2"/>
      <c r="T40" s="2"/>
      <c r="U40" s="2"/>
      <c r="V40" s="2"/>
      <c r="W40" s="2"/>
      <c r="X40" s="2"/>
      <c r="Y40" s="2"/>
      <c r="Z40" s="2"/>
    </row>
    <row r="41" spans="1:26" ht="12.75" customHeight="1" x14ac:dyDescent="0.25">
      <c r="A41" s="2" t="s">
        <v>58</v>
      </c>
      <c r="B41" s="9">
        <v>6.6674222946166992</v>
      </c>
      <c r="C41" s="10">
        <v>30</v>
      </c>
      <c r="D41" s="11">
        <v>0.32191780209541321</v>
      </c>
      <c r="E41" s="11">
        <v>0.19117647409439087</v>
      </c>
      <c r="F41" s="11">
        <v>0.10294117778539658</v>
      </c>
      <c r="G41" s="11">
        <v>0.14705882966518402</v>
      </c>
      <c r="H41" s="11">
        <v>0.63013696670532227</v>
      </c>
      <c r="I41" s="11">
        <v>0.50684928894042969</v>
      </c>
      <c r="J41" s="11">
        <v>0.66438359022140503</v>
      </c>
      <c r="K41" s="3">
        <v>1.7058823108673096</v>
      </c>
      <c r="L41" s="11">
        <v>0.37254902720451355</v>
      </c>
      <c r="M41" s="11">
        <v>0.86713284254074097</v>
      </c>
      <c r="N41" s="11">
        <v>0.5</v>
      </c>
      <c r="O41" s="11">
        <v>0.42105263471603394</v>
      </c>
      <c r="P41" s="11">
        <v>0.86301368474960327</v>
      </c>
      <c r="Q41" s="2" t="s">
        <v>21</v>
      </c>
      <c r="R41" s="2"/>
      <c r="S41" s="2"/>
      <c r="T41" s="2"/>
      <c r="U41" s="2"/>
      <c r="V41" s="2"/>
      <c r="W41" s="2"/>
      <c r="X41" s="2"/>
      <c r="Y41" s="2"/>
      <c r="Z41" s="2"/>
    </row>
    <row r="42" spans="1:26" ht="12.75" customHeight="1" x14ac:dyDescent="0.25">
      <c r="A42" s="2" t="s">
        <v>59</v>
      </c>
      <c r="B42" s="9">
        <v>7.0133843421936035</v>
      </c>
      <c r="C42" s="10">
        <v>12</v>
      </c>
      <c r="D42" s="11">
        <v>0.4093959629535675</v>
      </c>
      <c r="E42" s="11">
        <v>0.18518517911434174</v>
      </c>
      <c r="F42" s="11">
        <v>0.17283950746059418</v>
      </c>
      <c r="G42" s="11">
        <v>0.2222222238779068</v>
      </c>
      <c r="H42" s="11">
        <v>0.53968256711959839</v>
      </c>
      <c r="I42" s="11">
        <v>0.46357616782188416</v>
      </c>
      <c r="J42" s="11">
        <v>0.58278143405914307</v>
      </c>
      <c r="K42" s="3">
        <v>1.696969747543335</v>
      </c>
      <c r="L42" s="11">
        <v>0.39393940567970276</v>
      </c>
      <c r="M42" s="11">
        <v>0.84827584028244019</v>
      </c>
      <c r="N42" s="11">
        <v>0.58278143405914307</v>
      </c>
      <c r="O42" s="11">
        <v>0.30000001192092896</v>
      </c>
      <c r="P42" s="11">
        <v>0.73015874624252319</v>
      </c>
      <c r="Q42" s="2" t="s">
        <v>26</v>
      </c>
      <c r="R42" s="2"/>
      <c r="S42" s="2"/>
      <c r="T42" s="2"/>
      <c r="U42" s="2"/>
      <c r="V42" s="2"/>
      <c r="W42" s="2"/>
      <c r="X42" s="2"/>
      <c r="Y42" s="2"/>
      <c r="Z42" s="2"/>
    </row>
    <row r="43" spans="1:26" ht="12.75" customHeight="1" x14ac:dyDescent="0.25">
      <c r="A43" s="2" t="s">
        <v>60</v>
      </c>
      <c r="B43" s="9">
        <v>6.3890633583068848</v>
      </c>
      <c r="C43" s="10">
        <v>30</v>
      </c>
      <c r="D43" s="11">
        <v>0.24031007289886475</v>
      </c>
      <c r="E43" s="11">
        <v>0.17391304671764374</v>
      </c>
      <c r="F43" s="11">
        <v>0.10869564861059189</v>
      </c>
      <c r="G43" s="11">
        <v>8.6956523358821869E-2</v>
      </c>
      <c r="H43" s="11">
        <v>0.62068963050842285</v>
      </c>
      <c r="I43" s="11">
        <v>0.50381678342819214</v>
      </c>
      <c r="J43" s="11">
        <v>0.65648853778839111</v>
      </c>
      <c r="K43" s="3">
        <v>1.7297297716140747</v>
      </c>
      <c r="L43" s="11">
        <v>0.18918919563293457</v>
      </c>
      <c r="M43" s="11">
        <v>0.875</v>
      </c>
      <c r="N43" s="11">
        <v>0.55725193023681641</v>
      </c>
      <c r="O43" s="11">
        <v>0.5</v>
      </c>
      <c r="P43" s="11">
        <v>0.84482759237289429</v>
      </c>
      <c r="Q43" s="2" t="s">
        <v>21</v>
      </c>
      <c r="R43" s="2"/>
      <c r="S43" s="2"/>
      <c r="T43" s="2"/>
      <c r="U43" s="2"/>
      <c r="V43" s="2"/>
      <c r="W43" s="2"/>
      <c r="X43" s="2"/>
      <c r="Y43" s="2"/>
      <c r="Z43" s="2"/>
    </row>
    <row r="44" spans="1:26" ht="12.75" customHeight="1" x14ac:dyDescent="0.25">
      <c r="A44" s="2" t="s">
        <v>61</v>
      </c>
      <c r="B44" s="9">
        <v>6.803558349609375</v>
      </c>
      <c r="C44" s="10">
        <v>12</v>
      </c>
      <c r="D44" s="11">
        <v>9.8214283585548401E-2</v>
      </c>
      <c r="E44" s="11">
        <v>0.625</v>
      </c>
      <c r="F44" s="11">
        <v>3.125E-2</v>
      </c>
      <c r="G44" s="11">
        <v>6.25E-2</v>
      </c>
      <c r="H44" s="11">
        <v>0.57142859697341919</v>
      </c>
      <c r="I44" s="11">
        <v>0.54867255687713623</v>
      </c>
      <c r="J44" s="11">
        <v>0.53097343444824219</v>
      </c>
      <c r="K44" s="3">
        <v>1.4166666269302368</v>
      </c>
      <c r="L44" s="11">
        <v>0.52083331346511841</v>
      </c>
      <c r="M44" s="11">
        <v>0.94594591856002808</v>
      </c>
      <c r="N44" s="11">
        <v>0.44247788190841675</v>
      </c>
      <c r="O44" s="11">
        <v>0.47499999403953552</v>
      </c>
      <c r="P44" s="11">
        <v>0.9047619104385376</v>
      </c>
      <c r="Q44" s="2" t="s">
        <v>26</v>
      </c>
      <c r="R44" s="2"/>
      <c r="S44" s="2"/>
      <c r="T44" s="2"/>
      <c r="U44" s="2"/>
      <c r="V44" s="2"/>
      <c r="W44" s="2"/>
      <c r="X44" s="2"/>
      <c r="Y44" s="2"/>
      <c r="Z44" s="2"/>
    </row>
    <row r="45" spans="1:26" ht="12.75" customHeight="1" x14ac:dyDescent="0.25">
      <c r="A45" s="2" t="s">
        <v>62</v>
      </c>
      <c r="B45" s="9">
        <v>6.7728419303894043</v>
      </c>
      <c r="C45" s="10">
        <v>13</v>
      </c>
      <c r="D45" s="11">
        <v>0.26618704199790955</v>
      </c>
      <c r="E45" s="11">
        <v>0.28985506296157837</v>
      </c>
      <c r="F45" s="11">
        <v>0.18840579688549042</v>
      </c>
      <c r="G45" s="11">
        <v>0.27536231279373169</v>
      </c>
      <c r="H45" s="11">
        <v>0.65517240762710571</v>
      </c>
      <c r="I45" s="11">
        <v>0.60563379526138306</v>
      </c>
      <c r="J45" s="11">
        <v>0.55633801221847534</v>
      </c>
      <c r="K45" s="3">
        <v>1.3636363744735718</v>
      </c>
      <c r="L45" s="11">
        <v>0.49090909957885742</v>
      </c>
      <c r="M45" s="11">
        <v>0.79136693477630615</v>
      </c>
      <c r="N45" s="11">
        <v>0.38732394576072693</v>
      </c>
      <c r="O45" s="11">
        <v>0.27272728085517883</v>
      </c>
      <c r="P45" s="11">
        <v>0.60919541120529175</v>
      </c>
      <c r="Q45" s="2" t="s">
        <v>18</v>
      </c>
      <c r="R45" s="2"/>
      <c r="S45" s="2"/>
      <c r="T45" s="2"/>
      <c r="U45" s="2"/>
      <c r="V45" s="2"/>
      <c r="W45" s="2"/>
      <c r="X45" s="2"/>
      <c r="Y45" s="2"/>
      <c r="Z45" s="2"/>
    </row>
    <row r="46" spans="1:26" ht="12.75" customHeight="1" x14ac:dyDescent="0.25">
      <c r="A46" s="2" t="s">
        <v>63</v>
      </c>
      <c r="B46" s="9">
        <v>6.6100325584411621</v>
      </c>
      <c r="C46" s="10">
        <v>22.5</v>
      </c>
      <c r="D46" s="11">
        <v>0.39622640609741211</v>
      </c>
      <c r="E46" s="11">
        <v>0.19354838132858276</v>
      </c>
      <c r="F46" s="11">
        <v>0.19354838132858276</v>
      </c>
      <c r="G46" s="11">
        <v>0.27419355511665344</v>
      </c>
      <c r="H46" s="11">
        <v>0.66666668653488159</v>
      </c>
      <c r="I46" s="11">
        <v>0.57943922281265259</v>
      </c>
      <c r="J46" s="11">
        <v>0.55140185356140137</v>
      </c>
      <c r="K46" s="3">
        <v>1.7111110687255859</v>
      </c>
      <c r="L46" s="11">
        <v>0.26666668057441711</v>
      </c>
      <c r="M46" s="11">
        <v>0.79245281219482422</v>
      </c>
      <c r="N46" s="11">
        <v>0.46728971600532532</v>
      </c>
      <c r="O46" s="11">
        <v>0.17647059261798859</v>
      </c>
      <c r="P46" s="11">
        <v>0.71428573131561279</v>
      </c>
      <c r="Q46" s="2" t="s">
        <v>26</v>
      </c>
      <c r="R46" s="2"/>
      <c r="S46" s="2"/>
      <c r="T46" s="2"/>
      <c r="U46" s="2"/>
      <c r="V46" s="2"/>
      <c r="W46" s="2"/>
      <c r="X46" s="2"/>
      <c r="Y46" s="2"/>
      <c r="Z46" s="2"/>
    </row>
    <row r="47" spans="1:26" ht="12.75" customHeight="1" x14ac:dyDescent="0.25">
      <c r="A47" s="2" t="s">
        <v>64</v>
      </c>
      <c r="B47" s="9">
        <v>6.8555631637573242</v>
      </c>
      <c r="C47" s="10">
        <v>30</v>
      </c>
      <c r="D47" s="11">
        <v>0.37837839126586914</v>
      </c>
      <c r="E47" s="11">
        <v>0.26153847575187683</v>
      </c>
      <c r="F47" s="11">
        <v>0.20000000298023224</v>
      </c>
      <c r="G47" s="11">
        <v>0.24615384638309479</v>
      </c>
      <c r="H47" s="11">
        <v>0.63999998569488525</v>
      </c>
      <c r="I47" s="11">
        <v>0.5446428656578064</v>
      </c>
      <c r="J47" s="11">
        <v>0.5803571343421936</v>
      </c>
      <c r="K47" s="3">
        <v>1.6818181276321411</v>
      </c>
      <c r="L47" s="11">
        <v>0.45454546809196472</v>
      </c>
      <c r="M47" s="11">
        <v>0.85321098566055298</v>
      </c>
      <c r="N47" s="11">
        <v>0.55357140302658081</v>
      </c>
      <c r="O47" s="11">
        <v>0.2222222238779068</v>
      </c>
      <c r="P47" s="11">
        <v>0.95999997854232788</v>
      </c>
      <c r="Q47" s="2" t="s">
        <v>26</v>
      </c>
      <c r="R47" s="2"/>
      <c r="S47" s="2"/>
      <c r="T47" s="2"/>
      <c r="U47" s="2"/>
      <c r="V47" s="2"/>
      <c r="W47" s="2"/>
      <c r="X47" s="2"/>
      <c r="Y47" s="2"/>
      <c r="Z47" s="2"/>
    </row>
    <row r="48" spans="1:26" ht="12.75" customHeight="1" x14ac:dyDescent="0.25">
      <c r="A48" s="2" t="s">
        <v>65</v>
      </c>
      <c r="B48" s="9">
        <v>6.0361156463623047</v>
      </c>
      <c r="C48" s="10">
        <v>15</v>
      </c>
      <c r="D48" s="11">
        <v>0.17808219790458679</v>
      </c>
      <c r="E48" s="11">
        <v>0.38028168678283691</v>
      </c>
      <c r="F48" s="11">
        <v>0.25352111458778381</v>
      </c>
      <c r="G48" s="11">
        <v>0.23943662643432617</v>
      </c>
      <c r="H48" s="11">
        <v>0.69863015413284302</v>
      </c>
      <c r="I48" s="11">
        <v>0.55102038383483887</v>
      </c>
      <c r="J48" s="11">
        <v>0.54421770572662354</v>
      </c>
      <c r="K48" s="3">
        <v>1.6774193048477173</v>
      </c>
      <c r="L48" s="11">
        <v>0.35483869910240173</v>
      </c>
      <c r="M48" s="11">
        <v>0.82758623361587524</v>
      </c>
      <c r="N48" s="11">
        <v>0.50340133905410767</v>
      </c>
      <c r="O48" s="11">
        <v>0.52083331346511841</v>
      </c>
      <c r="P48" s="11">
        <v>0.93150687217712402</v>
      </c>
      <c r="Q48" s="2" t="s">
        <v>26</v>
      </c>
      <c r="R48" s="2"/>
      <c r="S48" s="2"/>
      <c r="T48" s="2"/>
      <c r="U48" s="2"/>
      <c r="V48" s="2"/>
      <c r="W48" s="2"/>
      <c r="X48" s="2"/>
      <c r="Y48" s="2"/>
      <c r="Z48" s="2"/>
    </row>
    <row r="49" spans="1:26" ht="12.75" customHeight="1" x14ac:dyDescent="0.25">
      <c r="A49" s="2" t="s">
        <v>66</v>
      </c>
      <c r="B49" s="9">
        <v>5.8187952041625977</v>
      </c>
      <c r="C49" s="10">
        <v>30</v>
      </c>
      <c r="D49" s="11">
        <v>0.2083333283662796</v>
      </c>
      <c r="E49" s="11">
        <v>0.41509434580802917</v>
      </c>
      <c r="F49" s="11">
        <v>0.20754717290401459</v>
      </c>
      <c r="G49" s="11">
        <v>0.30188679695129395</v>
      </c>
      <c r="H49" s="11">
        <v>0.83636361360549927</v>
      </c>
      <c r="I49" s="11">
        <v>0.57024794816970825</v>
      </c>
      <c r="J49" s="11">
        <v>0.46280992031097412</v>
      </c>
      <c r="K49" s="3">
        <v>1.7714285850524902</v>
      </c>
      <c r="L49" s="11">
        <v>0.25714287161827087</v>
      </c>
      <c r="M49" s="11">
        <v>0.79831933975219727</v>
      </c>
      <c r="N49" s="11">
        <v>0.54545456171035767</v>
      </c>
      <c r="O49" s="11">
        <v>0.54285717010498047</v>
      </c>
      <c r="P49" s="11">
        <v>0.72727274894714355</v>
      </c>
      <c r="Q49" s="2" t="s">
        <v>26</v>
      </c>
      <c r="R49" s="2"/>
      <c r="S49" s="2"/>
      <c r="T49" s="2"/>
      <c r="U49" s="2"/>
      <c r="V49" s="2"/>
      <c r="W49" s="2"/>
      <c r="X49" s="2"/>
      <c r="Y49" s="2"/>
      <c r="Z49" s="2"/>
    </row>
    <row r="50" spans="1:26" ht="12.75" customHeight="1" x14ac:dyDescent="0.25">
      <c r="A50" s="2" t="s">
        <v>67</v>
      </c>
      <c r="B50" s="9">
        <v>7.099949836730957</v>
      </c>
      <c r="C50" s="10">
        <v>12</v>
      </c>
      <c r="D50" s="11">
        <v>0.38953489065170288</v>
      </c>
      <c r="E50" s="11">
        <v>0.1304347813129425</v>
      </c>
      <c r="F50" s="11">
        <v>7.6086953282356262E-2</v>
      </c>
      <c r="G50" s="11">
        <v>0.18478260934352875</v>
      </c>
      <c r="H50" s="11">
        <v>0.66666668653488159</v>
      </c>
      <c r="I50" s="11">
        <v>0.51428574323654175</v>
      </c>
      <c r="J50" s="11">
        <v>0.58285713195800781</v>
      </c>
      <c r="K50" s="3">
        <v>1.6000000238418579</v>
      </c>
      <c r="L50" s="11">
        <v>0.31428572535514832</v>
      </c>
      <c r="M50" s="11">
        <v>0.81764703989028931</v>
      </c>
      <c r="N50" s="11">
        <v>0.62285715341567993</v>
      </c>
      <c r="O50" s="11">
        <v>0.15000000596046448</v>
      </c>
      <c r="P50" s="11">
        <v>0.80303031206130981</v>
      </c>
      <c r="Q50" s="2" t="s">
        <v>21</v>
      </c>
      <c r="R50" s="2"/>
      <c r="S50" s="2"/>
      <c r="T50" s="2"/>
      <c r="U50" s="2"/>
      <c r="V50" s="2"/>
      <c r="W50" s="2"/>
      <c r="X50" s="2"/>
      <c r="Y50" s="2"/>
      <c r="Z50" s="2"/>
    </row>
    <row r="51" spans="1:26" ht="12.75" customHeight="1" x14ac:dyDescent="0.25">
      <c r="A51" s="2" t="s">
        <v>68</v>
      </c>
      <c r="B51" s="9">
        <v>6.687309741973877</v>
      </c>
      <c r="C51" s="10">
        <v>30</v>
      </c>
      <c r="D51" s="11">
        <v>0.44339624047279358</v>
      </c>
      <c r="E51" s="11">
        <v>0.13846154510974884</v>
      </c>
      <c r="F51" s="11">
        <v>9.2307694256305695E-2</v>
      </c>
      <c r="G51" s="11">
        <v>0.16923077404499054</v>
      </c>
      <c r="H51" s="11">
        <v>0.69090908765792847</v>
      </c>
      <c r="I51" s="11">
        <v>0.56074768304824829</v>
      </c>
      <c r="J51" s="11">
        <v>0.49532711505889893</v>
      </c>
      <c r="K51" s="3">
        <v>1.7666666507720947</v>
      </c>
      <c r="L51" s="11">
        <v>0.10000000149011612</v>
      </c>
      <c r="M51" s="11">
        <v>0.82075470685958862</v>
      </c>
      <c r="N51" s="11">
        <v>0.48598131537437439</v>
      </c>
      <c r="O51" s="11">
        <v>0.25</v>
      </c>
      <c r="P51" s="11">
        <v>0.52727270126342773</v>
      </c>
      <c r="Q51" s="2" t="s">
        <v>26</v>
      </c>
      <c r="R51" s="2"/>
      <c r="S51" s="2"/>
      <c r="T51" s="2"/>
      <c r="U51" s="2"/>
      <c r="V51" s="2"/>
      <c r="W51" s="2"/>
      <c r="X51" s="2"/>
      <c r="Y51" s="2"/>
      <c r="Z51" s="2"/>
    </row>
    <row r="52" spans="1:26" ht="12.75" customHeight="1" x14ac:dyDescent="0.25">
      <c r="A52" s="2" t="s">
        <v>69</v>
      </c>
      <c r="B52" s="9">
        <v>6.5954198837280273</v>
      </c>
      <c r="C52" s="10">
        <v>30</v>
      </c>
      <c r="D52" s="11">
        <v>0.37735849618911743</v>
      </c>
      <c r="E52" s="11">
        <v>0.1428571492433548</v>
      </c>
      <c r="F52" s="11">
        <v>0.1428571492433548</v>
      </c>
      <c r="G52" s="11">
        <v>0.3174603283405304</v>
      </c>
      <c r="H52" s="11">
        <v>0.60000002384185791</v>
      </c>
      <c r="I52" s="11">
        <v>0.46226415038108826</v>
      </c>
      <c r="J52" s="11">
        <v>0.59433960914611816</v>
      </c>
      <c r="K52" s="3">
        <v>1.6363636255264282</v>
      </c>
      <c r="L52" s="11">
        <v>0.27272728085517883</v>
      </c>
      <c r="M52" s="11">
        <v>0.8396226167678833</v>
      </c>
      <c r="N52" s="11">
        <v>0.57547169923782349</v>
      </c>
      <c r="O52" s="11">
        <v>0.40740740299224854</v>
      </c>
      <c r="P52" s="11">
        <v>0.8888888955116272</v>
      </c>
      <c r="Q52" s="2" t="s">
        <v>15</v>
      </c>
      <c r="R52" s="2"/>
      <c r="S52" s="2"/>
      <c r="T52" s="2"/>
      <c r="U52" s="2"/>
      <c r="V52" s="2"/>
      <c r="W52" s="2"/>
      <c r="X52" s="2"/>
      <c r="Y52" s="2"/>
      <c r="Z52" s="2"/>
    </row>
    <row r="53" spans="1:26" ht="12.75" customHeight="1" x14ac:dyDescent="0.25">
      <c r="A53" s="2" t="s">
        <v>70</v>
      </c>
      <c r="B53" s="9">
        <v>5.9322199821472168</v>
      </c>
      <c r="C53" s="10">
        <v>30</v>
      </c>
      <c r="D53" s="11">
        <v>0.22429905831813812</v>
      </c>
      <c r="E53" s="11">
        <v>0.32727271318435669</v>
      </c>
      <c r="F53" s="11">
        <v>0.34545454382896423</v>
      </c>
      <c r="G53" s="11">
        <v>0.36363637447357178</v>
      </c>
      <c r="H53" s="11">
        <v>0.78723406791687012</v>
      </c>
      <c r="I53" s="11">
        <v>0.57798165082931519</v>
      </c>
      <c r="J53" s="11">
        <v>0.59633028507232666</v>
      </c>
      <c r="K53" s="3">
        <v>1.7857142686843872</v>
      </c>
      <c r="L53" s="11">
        <v>0.28571429848670959</v>
      </c>
      <c r="M53" s="11">
        <v>0.74766355752944946</v>
      </c>
      <c r="N53" s="11">
        <v>0.56880736351013184</v>
      </c>
      <c r="O53" s="11">
        <v>0.20000000298023224</v>
      </c>
      <c r="P53" s="11">
        <v>0.93617022037506104</v>
      </c>
      <c r="Q53" s="2" t="s">
        <v>18</v>
      </c>
      <c r="R53" s="2"/>
      <c r="S53" s="2"/>
      <c r="T53" s="2"/>
      <c r="U53" s="2"/>
      <c r="V53" s="2"/>
      <c r="W53" s="2"/>
      <c r="X53" s="2"/>
      <c r="Y53" s="2"/>
      <c r="Z53" s="2"/>
    </row>
    <row r="54" spans="1:26" ht="12.75" customHeight="1" x14ac:dyDescent="0.25">
      <c r="A54" s="2" t="s">
        <v>78</v>
      </c>
      <c r="B54" s="9">
        <v>6.8649358749389648</v>
      </c>
      <c r="C54" s="10">
        <v>30</v>
      </c>
      <c r="D54" s="11">
        <v>0.32786884903907776</v>
      </c>
      <c r="E54" s="11">
        <v>3.3333335071802139E-2</v>
      </c>
      <c r="F54" s="11">
        <v>8.3333335816860199E-2</v>
      </c>
      <c r="G54" s="11">
        <v>0.20000000298023224</v>
      </c>
      <c r="H54" s="11">
        <v>0.68000000715255737</v>
      </c>
      <c r="I54" s="11">
        <v>0.48780488967895508</v>
      </c>
      <c r="J54" s="11">
        <v>0.56910568475723267</v>
      </c>
      <c r="K54" s="3">
        <v>1.5499999523162842</v>
      </c>
      <c r="L54" s="11">
        <v>0.22499999403953552</v>
      </c>
      <c r="M54" s="11">
        <v>0.78151261806488037</v>
      </c>
      <c r="N54" s="11">
        <v>0.59349590539932251</v>
      </c>
      <c r="O54" s="11">
        <v>0.11999999731779099</v>
      </c>
      <c r="P54" s="11">
        <v>0.92000001668930054</v>
      </c>
      <c r="Q54" s="2" t="s">
        <v>26</v>
      </c>
      <c r="R54" s="2"/>
      <c r="S54" s="2"/>
      <c r="T54" s="2"/>
      <c r="U54" s="2"/>
      <c r="V54" s="2"/>
      <c r="W54" s="2"/>
      <c r="X54" s="2"/>
      <c r="Y54" s="2"/>
      <c r="Z54" s="2"/>
    </row>
    <row r="55" spans="1:26" ht="12.75" customHeight="1" x14ac:dyDescent="0.25">
      <c r="A55" s="2" t="s">
        <v>71</v>
      </c>
      <c r="B55" s="9">
        <v>6.8231024742126465</v>
      </c>
      <c r="C55" s="10">
        <v>12</v>
      </c>
      <c r="D55" s="11">
        <v>0.32800000905990601</v>
      </c>
      <c r="E55" s="11">
        <v>0.10909090936183929</v>
      </c>
      <c r="F55" s="11">
        <v>0.16363635659217834</v>
      </c>
      <c r="G55" s="11">
        <v>0.10909090936183929</v>
      </c>
      <c r="H55" s="11">
        <v>0.69811320304870605</v>
      </c>
      <c r="I55" s="11">
        <v>0.53543305397033691</v>
      </c>
      <c r="J55" s="11">
        <v>0.55118107795715332</v>
      </c>
      <c r="K55" s="3">
        <v>1.4727272987365723</v>
      </c>
      <c r="L55" s="11">
        <v>0.21818181872367859</v>
      </c>
      <c r="M55" s="11">
        <v>0.82926827669143677</v>
      </c>
      <c r="N55" s="11">
        <v>0.58267718553543091</v>
      </c>
      <c r="O55" s="11">
        <v>0.3333333432674408</v>
      </c>
      <c r="P55" s="11">
        <v>0.73584908246994019</v>
      </c>
      <c r="Q55" s="2" t="s">
        <v>24</v>
      </c>
      <c r="R55" s="2"/>
      <c r="S55" s="2"/>
      <c r="T55" s="2"/>
      <c r="U55" s="2"/>
      <c r="V55" s="2"/>
      <c r="W55" s="2"/>
      <c r="X55" s="2"/>
      <c r="Y55" s="2"/>
      <c r="Z55" s="2"/>
    </row>
    <row r="56" spans="1:26" ht="12.75" customHeight="1" x14ac:dyDescent="0.25">
      <c r="A56" s="2" t="s">
        <v>72</v>
      </c>
      <c r="B56" s="9">
        <v>6.4783377647399902</v>
      </c>
      <c r="C56" s="10">
        <v>20</v>
      </c>
      <c r="D56" s="11">
        <v>0.22580644488334656</v>
      </c>
      <c r="E56" s="11">
        <v>0.1627907007932663</v>
      </c>
      <c r="F56" s="11">
        <v>0.1627907007932663</v>
      </c>
      <c r="G56" s="11">
        <v>0.25581395626068115</v>
      </c>
      <c r="H56" s="11">
        <v>0.72307693958282471</v>
      </c>
      <c r="I56" s="11">
        <v>0.52755904197692871</v>
      </c>
      <c r="J56" s="11">
        <v>0.59842520952224731</v>
      </c>
      <c r="K56" s="3">
        <v>1.7948718070983887</v>
      </c>
      <c r="L56" s="11">
        <v>0.23076923191547394</v>
      </c>
      <c r="M56" s="11">
        <v>0.90243899822235107</v>
      </c>
      <c r="N56" s="11">
        <v>0.4881889820098877</v>
      </c>
      <c r="O56" s="11">
        <v>0.27500000596046448</v>
      </c>
      <c r="P56" s="11">
        <v>0.9076923131942749</v>
      </c>
      <c r="Q56" s="2" t="s">
        <v>21</v>
      </c>
      <c r="R56" s="2"/>
      <c r="S56" s="2"/>
      <c r="T56" s="2"/>
      <c r="U56" s="2"/>
      <c r="V56" s="2"/>
      <c r="W56" s="2"/>
      <c r="X56" s="2"/>
      <c r="Y56" s="2"/>
      <c r="Z56" s="2"/>
    </row>
    <row r="57" spans="1:26" ht="12.75" customHeight="1" x14ac:dyDescent="0.25">
      <c r="A57" s="2" t="s">
        <v>73</v>
      </c>
      <c r="B57" s="9">
        <v>6.4428505897521973</v>
      </c>
      <c r="C57" s="10">
        <v>30</v>
      </c>
      <c r="D57" s="11">
        <v>0.17073170840740204</v>
      </c>
      <c r="E57" s="11">
        <v>0.27450981736183167</v>
      </c>
      <c r="F57" s="11">
        <v>0.19607843458652496</v>
      </c>
      <c r="G57" s="11">
        <v>0.27450981736183167</v>
      </c>
      <c r="H57" s="11">
        <v>0.68181818723678589</v>
      </c>
      <c r="I57" s="11">
        <v>0.45161288976669312</v>
      </c>
      <c r="J57" s="11">
        <v>0.60483872890472412</v>
      </c>
      <c r="K57" s="3">
        <v>1.6388888359069824</v>
      </c>
      <c r="L57" s="11">
        <v>0.4166666567325592</v>
      </c>
      <c r="M57" s="11">
        <v>0.83064514398574829</v>
      </c>
      <c r="N57" s="11">
        <v>0.46774193644523621</v>
      </c>
      <c r="O57" s="11">
        <v>0.3333333432674408</v>
      </c>
      <c r="P57" s="11">
        <v>0.81818181276321411</v>
      </c>
      <c r="Q57" s="2" t="s">
        <v>18</v>
      </c>
      <c r="R57" s="2"/>
      <c r="S57" s="2"/>
      <c r="T57" s="2"/>
      <c r="U57" s="2"/>
      <c r="V57" s="2"/>
      <c r="W57" s="2"/>
      <c r="X57" s="2"/>
      <c r="Y57" s="2"/>
      <c r="Z57" s="2"/>
    </row>
    <row r="58" spans="1:26" ht="12.75" customHeight="1" x14ac:dyDescent="0.25">
      <c r="A58" s="2" t="s">
        <v>74</v>
      </c>
      <c r="B58" s="9">
        <v>7.0552730560302734</v>
      </c>
      <c r="C58" s="10">
        <v>15</v>
      </c>
      <c r="D58" s="11">
        <v>0.34375</v>
      </c>
      <c r="E58" s="11">
        <v>0.20987653732299805</v>
      </c>
      <c r="F58" s="11">
        <v>0.19753086566925049</v>
      </c>
      <c r="G58" s="11">
        <v>0.18518517911434174</v>
      </c>
      <c r="H58" s="11">
        <v>0.7014925479888916</v>
      </c>
      <c r="I58" s="11">
        <v>0.46875</v>
      </c>
      <c r="J58" s="11">
        <v>0.54374998807907104</v>
      </c>
      <c r="K58" s="3">
        <v>1.8125</v>
      </c>
      <c r="L58" s="11">
        <v>0.25</v>
      </c>
      <c r="M58" s="11">
        <v>0.90566039085388184</v>
      </c>
      <c r="N58" s="11">
        <v>0.58125001192092896</v>
      </c>
      <c r="O58" s="11">
        <v>9.5238097012042999E-2</v>
      </c>
      <c r="P58" s="11">
        <v>0.64179104566574097</v>
      </c>
      <c r="Q58" s="2" t="s">
        <v>26</v>
      </c>
      <c r="R58" s="2"/>
      <c r="S58" s="2"/>
      <c r="T58" s="2"/>
      <c r="U58" s="2"/>
      <c r="V58" s="2"/>
      <c r="W58" s="2"/>
      <c r="X58" s="2"/>
      <c r="Y58" s="2"/>
      <c r="Z58" s="2"/>
    </row>
    <row r="59" spans="1:26" ht="12.75" customHeight="1" x14ac:dyDescent="0.25">
      <c r="A59" s="2" t="s">
        <v>75</v>
      </c>
      <c r="B59" s="9">
        <v>6.2792434692382813</v>
      </c>
      <c r="C59" s="10">
        <v>30</v>
      </c>
      <c r="D59" s="11">
        <v>0.33944955468177795</v>
      </c>
      <c r="E59" s="11">
        <v>0.27118644118309021</v>
      </c>
      <c r="F59" s="11">
        <v>0.32203391194343567</v>
      </c>
      <c r="G59" s="11">
        <v>0.30508473515510559</v>
      </c>
      <c r="H59" s="11">
        <v>0.67857140302658081</v>
      </c>
      <c r="I59" s="11">
        <v>0.4910714328289032</v>
      </c>
      <c r="J59" s="11">
        <v>0.5625</v>
      </c>
      <c r="K59" s="3">
        <v>1.7999999523162842</v>
      </c>
      <c r="L59" s="11">
        <v>0.10000000149011612</v>
      </c>
      <c r="M59" s="11">
        <v>0.77142858505249023</v>
      </c>
      <c r="N59" s="11">
        <v>0.5</v>
      </c>
      <c r="O59" s="11">
        <v>0</v>
      </c>
      <c r="P59" s="11">
        <v>0.91071426868438721</v>
      </c>
      <c r="Q59" s="2" t="s">
        <v>15</v>
      </c>
      <c r="R59" s="2"/>
      <c r="S59" s="2"/>
      <c r="T59" s="2"/>
      <c r="U59" s="2"/>
      <c r="V59" s="2"/>
      <c r="W59" s="2"/>
      <c r="X59" s="2"/>
      <c r="Y59" s="2"/>
      <c r="Z59" s="2"/>
    </row>
    <row r="60" spans="1:26" ht="12.75" customHeight="1" x14ac:dyDescent="0.25">
      <c r="A60" s="2" t="s">
        <v>77</v>
      </c>
      <c r="B60" s="9">
        <v>6.5754356384277344</v>
      </c>
      <c r="C60" s="10">
        <v>30</v>
      </c>
      <c r="D60" s="11">
        <v>0.20792078971862793</v>
      </c>
      <c r="E60" s="11">
        <v>0.23076923191547394</v>
      </c>
      <c r="F60" s="11">
        <v>0.20512820780277252</v>
      </c>
      <c r="G60" s="11">
        <v>0.17948718369007111</v>
      </c>
      <c r="H60" s="11">
        <v>0.77551019191741943</v>
      </c>
      <c r="I60" s="11">
        <v>0.49514561891555786</v>
      </c>
      <c r="J60" s="11">
        <v>0.65048545598983765</v>
      </c>
      <c r="K60" s="3">
        <v>1.7619047164916992</v>
      </c>
      <c r="L60" s="11">
        <v>0.28571429848670959</v>
      </c>
      <c r="M60" s="11">
        <v>0.91089111566543579</v>
      </c>
      <c r="N60" s="11">
        <v>0.52427184581756592</v>
      </c>
      <c r="O60" s="11">
        <v>0.39130434393882751</v>
      </c>
      <c r="P60" s="11">
        <v>0.44897958636283875</v>
      </c>
      <c r="Q60" s="2" t="s">
        <v>15</v>
      </c>
      <c r="R60" s="2"/>
      <c r="S60" s="2"/>
      <c r="T60" s="2"/>
      <c r="U60" s="2"/>
      <c r="V60" s="2"/>
      <c r="W60" s="2"/>
      <c r="X60" s="2"/>
      <c r="Y60" s="2"/>
      <c r="Z60" s="2"/>
    </row>
    <row r="61" spans="1:26" ht="12.75" customHeight="1" x14ac:dyDescent="0.25">
      <c r="A61" s="2" t="s">
        <v>79</v>
      </c>
      <c r="B61" s="9">
        <v>5.6626014709472656</v>
      </c>
      <c r="C61" s="10">
        <v>30</v>
      </c>
      <c r="D61" s="11">
        <v>0.2788461446762085</v>
      </c>
      <c r="E61" s="11">
        <v>0.29824560880661011</v>
      </c>
      <c r="F61" s="11">
        <v>0.26315790414810181</v>
      </c>
      <c r="G61" s="11">
        <v>0.21052631735801697</v>
      </c>
      <c r="H61" s="11">
        <v>0.6603773832321167</v>
      </c>
      <c r="I61" s="11">
        <v>0.56730771064758301</v>
      </c>
      <c r="J61" s="11">
        <v>0.58653843402862549</v>
      </c>
      <c r="K61" s="3">
        <v>2.375</v>
      </c>
      <c r="L61" s="11">
        <v>0.3125</v>
      </c>
      <c r="M61" s="11">
        <v>0.74757283926010132</v>
      </c>
      <c r="N61" s="11">
        <v>0.49038460850715637</v>
      </c>
      <c r="O61" s="11">
        <v>0.40000000596046448</v>
      </c>
      <c r="P61" s="11">
        <v>0.77358490228652954</v>
      </c>
      <c r="Q61" s="2" t="s">
        <v>18</v>
      </c>
      <c r="R61" s="2"/>
      <c r="S61" s="2"/>
      <c r="T61" s="2"/>
      <c r="U61" s="2"/>
      <c r="V61" s="2"/>
      <c r="W61" s="2"/>
      <c r="X61" s="2"/>
      <c r="Y61" s="2"/>
      <c r="Z61" s="2"/>
    </row>
    <row r="62" spans="1:26" ht="12.75" customHeight="1" x14ac:dyDescent="0.25">
      <c r="A62" s="2" t="s">
        <v>80</v>
      </c>
      <c r="B62" s="9">
        <v>6.3501968383789063</v>
      </c>
      <c r="C62" s="10">
        <v>30</v>
      </c>
      <c r="D62" s="11">
        <v>0.2063492089509964</v>
      </c>
      <c r="E62" s="11">
        <v>0.48101267218589783</v>
      </c>
      <c r="F62" s="11">
        <v>0.27848100662231445</v>
      </c>
      <c r="G62" s="11">
        <v>0.20253165066242218</v>
      </c>
      <c r="H62" s="11">
        <v>0.6071428656578064</v>
      </c>
      <c r="I62" s="11">
        <v>0.5669291615486145</v>
      </c>
      <c r="J62" s="11">
        <v>0.5118110179901123</v>
      </c>
      <c r="K62" s="3">
        <v>1.5483870506286621</v>
      </c>
      <c r="L62" s="11">
        <v>0.38709676265716553</v>
      </c>
      <c r="M62" s="11">
        <v>0.89682537317276001</v>
      </c>
      <c r="N62" s="11">
        <v>0.55905508995056152</v>
      </c>
      <c r="O62" s="11">
        <v>0.67241376638412476</v>
      </c>
      <c r="P62" s="11">
        <v>0.4821428656578064</v>
      </c>
      <c r="Q62" s="2" t="s">
        <v>15</v>
      </c>
      <c r="R62" s="2"/>
      <c r="S62" s="2"/>
      <c r="T62" s="2"/>
      <c r="U62" s="2"/>
      <c r="V62" s="2"/>
      <c r="W62" s="2"/>
      <c r="X62" s="2"/>
      <c r="Y62" s="2"/>
      <c r="Z62" s="2"/>
    </row>
    <row r="63" spans="1:26" ht="12.75" customHeight="1" x14ac:dyDescent="0.25">
      <c r="A63" s="2" t="s">
        <v>81</v>
      </c>
      <c r="B63" s="9">
        <v>6.2828855514526367</v>
      </c>
      <c r="C63" s="10">
        <v>15</v>
      </c>
      <c r="D63" s="11">
        <v>0.34104046225547791</v>
      </c>
      <c r="E63" s="11">
        <v>0.26595744490623474</v>
      </c>
      <c r="F63" s="11">
        <v>0.20212766528129578</v>
      </c>
      <c r="G63" s="11">
        <v>0.25531914830207825</v>
      </c>
      <c r="H63" s="11">
        <v>0.625</v>
      </c>
      <c r="I63" s="11">
        <v>0.48571428656578064</v>
      </c>
      <c r="J63" s="11">
        <v>0.55428570508956909</v>
      </c>
      <c r="K63" s="3">
        <v>1.7692307233810425</v>
      </c>
      <c r="L63" s="11">
        <v>0.25</v>
      </c>
      <c r="M63" s="11">
        <v>0.77456647157669067</v>
      </c>
      <c r="N63" s="11">
        <v>0.54285717010498047</v>
      </c>
      <c r="O63" s="11">
        <v>0.38461539149284363</v>
      </c>
      <c r="P63" s="11">
        <v>0.80000001192092896</v>
      </c>
      <c r="Q63" s="2" t="s">
        <v>21</v>
      </c>
      <c r="R63" s="2"/>
      <c r="S63" s="2"/>
      <c r="T63" s="2"/>
      <c r="U63" s="2"/>
      <c r="V63" s="2"/>
      <c r="W63" s="2"/>
      <c r="X63" s="2"/>
      <c r="Y63" s="2"/>
      <c r="Z63" s="2"/>
    </row>
    <row r="64" spans="1:26" ht="12.75" customHeight="1" x14ac:dyDescent="0.25">
      <c r="A64" s="5" t="s">
        <v>82</v>
      </c>
      <c r="B64" s="12">
        <v>6.8564305305480957</v>
      </c>
      <c r="C64" s="13">
        <v>30</v>
      </c>
      <c r="D64" s="14">
        <v>0.3909091055393219</v>
      </c>
      <c r="E64" s="14">
        <v>0.20588235557079315</v>
      </c>
      <c r="F64" s="14">
        <v>0.19117647409439087</v>
      </c>
      <c r="G64" s="14">
        <v>0.13235294818878174</v>
      </c>
      <c r="H64" s="14">
        <v>0.63265305757522583</v>
      </c>
      <c r="I64" s="14">
        <v>0.50909090042114258</v>
      </c>
      <c r="J64" s="14">
        <v>0.5727272629737854</v>
      </c>
      <c r="K64" s="6">
        <v>1.4390244483947754</v>
      </c>
      <c r="L64" s="14">
        <v>0.36585366725921631</v>
      </c>
      <c r="M64" s="14">
        <v>0.87155961990356445</v>
      </c>
      <c r="N64" s="14">
        <v>0.55454546213150024</v>
      </c>
      <c r="O64" s="14">
        <v>0.54545456171035767</v>
      </c>
      <c r="P64" s="14">
        <v>0.67346936464309692</v>
      </c>
      <c r="Q64" s="5" t="s">
        <v>18</v>
      </c>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15" t="e">
        <f>#REF!</f>
        <v>#REF!</v>
      </c>
      <c r="B66" s="16">
        <f t="shared" ref="B66:P66" si="0">SUMIF($A$2:$A$64,$A$66,B2:B64)</f>
        <v>0</v>
      </c>
      <c r="C66" s="16">
        <f t="shared" si="0"/>
        <v>0</v>
      </c>
      <c r="D66" s="16">
        <f t="shared" si="0"/>
        <v>0</v>
      </c>
      <c r="E66" s="17">
        <f t="shared" si="0"/>
        <v>0</v>
      </c>
      <c r="F66" s="17">
        <f t="shared" si="0"/>
        <v>0</v>
      </c>
      <c r="G66" s="17">
        <f t="shared" si="0"/>
        <v>0</v>
      </c>
      <c r="H66" s="17">
        <f t="shared" si="0"/>
        <v>0</v>
      </c>
      <c r="I66" s="17">
        <f t="shared" si="0"/>
        <v>0</v>
      </c>
      <c r="J66" s="17">
        <f t="shared" si="0"/>
        <v>0</v>
      </c>
      <c r="K66" s="16">
        <f t="shared" si="0"/>
        <v>0</v>
      </c>
      <c r="L66" s="17">
        <f t="shared" si="0"/>
        <v>0</v>
      </c>
      <c r="M66" s="17">
        <f t="shared" si="0"/>
        <v>0</v>
      </c>
      <c r="N66" s="17">
        <f t="shared" si="0"/>
        <v>0</v>
      </c>
      <c r="O66" s="17">
        <f t="shared" si="0"/>
        <v>0</v>
      </c>
      <c r="P66" s="17">
        <f t="shared" si="0"/>
        <v>0</v>
      </c>
      <c r="Q66" s="2"/>
      <c r="R66" s="2"/>
      <c r="S66" s="2"/>
      <c r="T66" s="2"/>
      <c r="U66" s="2"/>
      <c r="V66" s="2"/>
      <c r="W66" s="2"/>
      <c r="X66" s="2"/>
      <c r="Y66" s="2"/>
      <c r="Z66" s="2"/>
    </row>
    <row r="67" spans="1:26" ht="12.75" customHeight="1" x14ac:dyDescent="0.25">
      <c r="A67" s="2" t="s">
        <v>102</v>
      </c>
      <c r="B67" s="19">
        <f t="shared" ref="B67:P67" si="1">MIN(B2:B64)</f>
        <v>5.5522527694702148</v>
      </c>
      <c r="C67" s="19">
        <f t="shared" si="1"/>
        <v>12</v>
      </c>
      <c r="D67" s="19">
        <f t="shared" si="1"/>
        <v>9.8214283585548401E-2</v>
      </c>
      <c r="E67" s="21">
        <f t="shared" si="1"/>
        <v>3.3333335071802139E-2</v>
      </c>
      <c r="F67" s="21">
        <f t="shared" si="1"/>
        <v>9.5238098874688148E-3</v>
      </c>
      <c r="G67" s="21">
        <f t="shared" si="1"/>
        <v>3.3898305147886276E-2</v>
      </c>
      <c r="H67" s="21">
        <f t="shared" si="1"/>
        <v>0.48076921701431274</v>
      </c>
      <c r="I67" s="21">
        <f t="shared" si="1"/>
        <v>0.42352941632270813</v>
      </c>
      <c r="J67" s="21">
        <f t="shared" si="1"/>
        <v>0.46280992031097412</v>
      </c>
      <c r="K67" s="19">
        <f t="shared" si="1"/>
        <v>1.3636363744735718</v>
      </c>
      <c r="L67" s="21">
        <f t="shared" si="1"/>
        <v>9.0909093618392944E-2</v>
      </c>
      <c r="M67" s="21">
        <f t="shared" si="1"/>
        <v>0.66949152946472168</v>
      </c>
      <c r="N67" s="21">
        <f t="shared" si="1"/>
        <v>0.38732394576072693</v>
      </c>
      <c r="O67" s="21">
        <f t="shared" si="1"/>
        <v>0</v>
      </c>
      <c r="P67" s="21">
        <f t="shared" si="1"/>
        <v>0.1111111119389534</v>
      </c>
      <c r="Q67" s="2"/>
      <c r="R67" s="2"/>
      <c r="S67" s="2"/>
      <c r="T67" s="2"/>
      <c r="U67" s="2"/>
      <c r="V67" s="2"/>
      <c r="W67" s="2"/>
      <c r="X67" s="2"/>
      <c r="Y67" s="2"/>
      <c r="Z67" s="2"/>
    </row>
    <row r="68" spans="1:26" ht="12.75" customHeight="1" x14ac:dyDescent="0.25">
      <c r="A68" s="2" t="s">
        <v>103</v>
      </c>
      <c r="B68" s="19">
        <f t="shared" ref="B68:P68" si="2">MEDIAN(B2:B64)</f>
        <v>6.5954198837280273</v>
      </c>
      <c r="C68" s="19">
        <f t="shared" si="2"/>
        <v>30</v>
      </c>
      <c r="D68" s="19">
        <f t="shared" si="2"/>
        <v>0.32786884903907776</v>
      </c>
      <c r="E68" s="21">
        <f t="shared" si="2"/>
        <v>0.25396826863288879</v>
      </c>
      <c r="F68" s="21">
        <f t="shared" si="2"/>
        <v>0.18644067645072937</v>
      </c>
      <c r="G68" s="21">
        <f t="shared" si="2"/>
        <v>0.22535210847854614</v>
      </c>
      <c r="H68" s="21">
        <f t="shared" si="2"/>
        <v>0.66666668653488159</v>
      </c>
      <c r="I68" s="21">
        <f t="shared" si="2"/>
        <v>0.51485151052474976</v>
      </c>
      <c r="J68" s="21">
        <f t="shared" si="2"/>
        <v>0.56910568475723267</v>
      </c>
      <c r="K68" s="19">
        <f t="shared" si="2"/>
        <v>1.7111110687255859</v>
      </c>
      <c r="L68" s="21">
        <f t="shared" si="2"/>
        <v>0.27272728085517883</v>
      </c>
      <c r="M68" s="21">
        <f t="shared" si="2"/>
        <v>0.82499998807907104</v>
      </c>
      <c r="N68" s="21">
        <f t="shared" si="2"/>
        <v>0.51470589637756348</v>
      </c>
      <c r="O68" s="21">
        <f t="shared" si="2"/>
        <v>0.3125</v>
      </c>
      <c r="P68" s="21">
        <f t="shared" si="2"/>
        <v>0.73584908246994019</v>
      </c>
      <c r="Q68" s="2"/>
      <c r="R68" s="2"/>
      <c r="S68" s="2"/>
      <c r="T68" s="2"/>
      <c r="U68" s="2"/>
      <c r="V68" s="2"/>
      <c r="W68" s="2"/>
      <c r="X68" s="2"/>
      <c r="Y68" s="2"/>
      <c r="Z68" s="2"/>
    </row>
    <row r="69" spans="1:26" ht="12.75" customHeight="1" x14ac:dyDescent="0.25">
      <c r="A69" s="2" t="s">
        <v>104</v>
      </c>
      <c r="B69" s="19">
        <f t="shared" ref="B69:P69" si="3">MAX(B2:B64)</f>
        <v>7.8577704429626465</v>
      </c>
      <c r="C69" s="19">
        <f t="shared" si="3"/>
        <v>45</v>
      </c>
      <c r="D69" s="19">
        <f t="shared" si="3"/>
        <v>0.69402986764907837</v>
      </c>
      <c r="E69" s="21">
        <f t="shared" si="3"/>
        <v>0.625</v>
      </c>
      <c r="F69" s="21">
        <f t="shared" si="3"/>
        <v>0.42622950673103333</v>
      </c>
      <c r="G69" s="21">
        <f t="shared" si="3"/>
        <v>0.47540983557701111</v>
      </c>
      <c r="H69" s="21">
        <f t="shared" si="3"/>
        <v>0.83636361360549927</v>
      </c>
      <c r="I69" s="21">
        <f t="shared" si="3"/>
        <v>0.60563379526138306</v>
      </c>
      <c r="J69" s="21">
        <f t="shared" si="3"/>
        <v>0.68867921829223633</v>
      </c>
      <c r="K69" s="19">
        <f t="shared" si="3"/>
        <v>2.375</v>
      </c>
      <c r="L69" s="21">
        <f t="shared" si="3"/>
        <v>0.56521737575531006</v>
      </c>
      <c r="M69" s="21">
        <f t="shared" si="3"/>
        <v>0.94594591856002808</v>
      </c>
      <c r="N69" s="21">
        <f t="shared" si="3"/>
        <v>0.62285715341567993</v>
      </c>
      <c r="O69" s="21">
        <f t="shared" si="3"/>
        <v>0.80327868461608887</v>
      </c>
      <c r="P69" s="21">
        <f t="shared" si="3"/>
        <v>0.95999997854232788</v>
      </c>
      <c r="Q69" s="2"/>
      <c r="R69" s="2"/>
      <c r="S69" s="2"/>
      <c r="T69" s="2"/>
      <c r="U69" s="2"/>
      <c r="V69" s="2"/>
      <c r="W69" s="2"/>
      <c r="X69" s="2"/>
      <c r="Y69" s="2"/>
      <c r="Z69" s="2"/>
    </row>
    <row r="70" spans="1:26" ht="12.75" customHeight="1" x14ac:dyDescent="0.25">
      <c r="A70" s="2" t="s">
        <v>105</v>
      </c>
      <c r="B70" s="10" t="e">
        <f>RANK(B66,B2:B64,0)</f>
        <v>#N/A</v>
      </c>
      <c r="C70" s="10" t="e">
        <f>RANK(C66,C2:C64,1)</f>
        <v>#N/A</v>
      </c>
      <c r="D70" s="10" t="e">
        <f>RANK(D66,D2:D64,0)</f>
        <v>#N/A</v>
      </c>
      <c r="E70" s="10" t="e">
        <f t="shared" ref="E70:K70" si="4">RANK(E66,E2:E64,1)</f>
        <v>#N/A</v>
      </c>
      <c r="F70" s="10" t="e">
        <f t="shared" si="4"/>
        <v>#N/A</v>
      </c>
      <c r="G70" s="10" t="e">
        <f t="shared" si="4"/>
        <v>#N/A</v>
      </c>
      <c r="H70" s="10" t="e">
        <f t="shared" si="4"/>
        <v>#N/A</v>
      </c>
      <c r="I70" s="10" t="e">
        <f t="shared" si="4"/>
        <v>#N/A</v>
      </c>
      <c r="J70" s="10" t="e">
        <f t="shared" si="4"/>
        <v>#N/A</v>
      </c>
      <c r="K70" s="10" t="e">
        <f t="shared" si="4"/>
        <v>#N/A</v>
      </c>
      <c r="L70" s="10" t="e">
        <f t="shared" ref="L70:N70" si="5">RANK(L66,L2:L64,0)</f>
        <v>#N/A</v>
      </c>
      <c r="M70" s="10" t="e">
        <f t="shared" si="5"/>
        <v>#N/A</v>
      </c>
      <c r="N70" s="10" t="e">
        <f t="shared" si="5"/>
        <v>#N/A</v>
      </c>
      <c r="O70" s="10">
        <f t="shared" ref="O70:P70" si="6">RANK(O66,O2:O64,1)</f>
        <v>1</v>
      </c>
      <c r="P70" s="10" t="e">
        <f t="shared" si="6"/>
        <v>#N/A</v>
      </c>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4" width="16.42578125" customWidth="1"/>
    <col min="5" max="5" width="19.28515625" customWidth="1"/>
    <col min="6" max="6" width="21.85546875" customWidth="1"/>
    <col min="7" max="7" width="18.28515625" customWidth="1"/>
    <col min="8" max="8" width="21.85546875" customWidth="1"/>
    <col min="9" max="12" width="16.42578125" customWidth="1"/>
    <col min="13" max="13" width="21.7109375" customWidth="1"/>
    <col min="14" max="14" width="23.85546875" customWidth="1"/>
    <col min="15" max="19" width="16.42578125" customWidth="1"/>
    <col min="20" max="20" width="36" customWidth="1"/>
    <col min="21" max="26" width="8.7109375" customWidth="1"/>
  </cols>
  <sheetData>
    <row r="1" spans="1:26" ht="12.75" customHeight="1" x14ac:dyDescent="0.25">
      <c r="A1" s="7" t="s">
        <v>0</v>
      </c>
      <c r="B1" s="25" t="s">
        <v>3</v>
      </c>
      <c r="C1" s="1" t="s">
        <v>121</v>
      </c>
      <c r="D1" s="1" t="s">
        <v>122</v>
      </c>
      <c r="E1" s="1" t="s">
        <v>123</v>
      </c>
      <c r="F1" s="1" t="s">
        <v>124</v>
      </c>
      <c r="G1" s="1" t="s">
        <v>125</v>
      </c>
      <c r="H1" s="1" t="s">
        <v>126</v>
      </c>
      <c r="I1" s="1" t="s">
        <v>127</v>
      </c>
      <c r="J1" s="1" t="s">
        <v>128</v>
      </c>
      <c r="K1" s="1" t="s">
        <v>129</v>
      </c>
      <c r="L1" s="1" t="s">
        <v>130</v>
      </c>
      <c r="M1" s="1" t="s">
        <v>131</v>
      </c>
      <c r="N1" s="1" t="s">
        <v>132</v>
      </c>
      <c r="O1" s="1" t="s">
        <v>133</v>
      </c>
      <c r="P1" s="1" t="s">
        <v>134</v>
      </c>
      <c r="Q1" s="1" t="s">
        <v>135</v>
      </c>
      <c r="R1" s="1" t="s">
        <v>136</v>
      </c>
      <c r="S1" s="1" t="s">
        <v>137</v>
      </c>
      <c r="T1" s="1" t="s">
        <v>13</v>
      </c>
      <c r="U1" s="2"/>
      <c r="V1" s="2"/>
      <c r="W1" s="2"/>
      <c r="X1" s="2"/>
      <c r="Y1" s="2"/>
      <c r="Z1" s="2"/>
    </row>
    <row r="2" spans="1:26" ht="12.75" customHeight="1" x14ac:dyDescent="0.25">
      <c r="A2" s="2" t="s">
        <v>14</v>
      </c>
      <c r="B2" s="26">
        <v>6.325009822845459</v>
      </c>
      <c r="C2" s="19">
        <v>2.7943549156188965</v>
      </c>
      <c r="D2" s="19">
        <v>2.9186828136444092</v>
      </c>
      <c r="E2" s="21">
        <v>0.13385826349258423</v>
      </c>
      <c r="F2" s="21">
        <v>0.69230771064758301</v>
      </c>
      <c r="G2" s="22">
        <v>5</v>
      </c>
      <c r="H2" s="21">
        <v>0.3928571343421936</v>
      </c>
      <c r="I2" s="21">
        <v>0.55357140302658081</v>
      </c>
      <c r="J2" s="21">
        <v>0.3928571343421936</v>
      </c>
      <c r="K2" s="21">
        <v>0.6071428656578064</v>
      </c>
      <c r="L2" s="21">
        <v>0.29032257199287415</v>
      </c>
      <c r="M2" s="21">
        <v>0.33898305892944336</v>
      </c>
      <c r="N2" s="21">
        <v>0.27966102957725525</v>
      </c>
      <c r="O2" s="21">
        <v>0.63934427499771118</v>
      </c>
      <c r="P2" s="21">
        <v>0.40000000596046448</v>
      </c>
      <c r="Q2" s="21">
        <v>0.34999999403953552</v>
      </c>
      <c r="R2" s="19">
        <v>59.764728546142578</v>
      </c>
      <c r="S2" s="21">
        <v>0.44094488024711609</v>
      </c>
      <c r="T2" s="2" t="s">
        <v>15</v>
      </c>
      <c r="U2" s="2"/>
      <c r="V2" s="2"/>
      <c r="W2" s="2"/>
      <c r="X2" s="2"/>
      <c r="Y2" s="2"/>
      <c r="Z2" s="2"/>
    </row>
    <row r="3" spans="1:26" ht="12.75" customHeight="1" x14ac:dyDescent="0.25">
      <c r="A3" s="2" t="s">
        <v>29</v>
      </c>
      <c r="B3" s="26">
        <v>6.3520007133483887</v>
      </c>
      <c r="C3" s="19">
        <v>3.1439394950866699</v>
      </c>
      <c r="D3" s="19">
        <v>3.179797887802124</v>
      </c>
      <c r="E3" s="21">
        <v>0.11764705926179886</v>
      </c>
      <c r="F3" s="21">
        <v>0.6428571343421936</v>
      </c>
      <c r="G3" s="22">
        <v>7</v>
      </c>
      <c r="H3" s="21">
        <v>0.50877195596694946</v>
      </c>
      <c r="I3" s="21">
        <v>0.64912283420562744</v>
      </c>
      <c r="J3" s="21">
        <v>0.47368422150611877</v>
      </c>
      <c r="K3" s="21">
        <v>0.50877195596694946</v>
      </c>
      <c r="L3" s="21">
        <v>0.23664122819900513</v>
      </c>
      <c r="M3" s="21">
        <v>0.45454546809196472</v>
      </c>
      <c r="N3" s="21">
        <v>0.31818181276321411</v>
      </c>
      <c r="O3" s="21">
        <v>0.82258063554763794</v>
      </c>
      <c r="P3" s="21">
        <v>0.41732284426689148</v>
      </c>
      <c r="Q3" s="21">
        <v>0.40944883227348328</v>
      </c>
      <c r="R3" s="19">
        <v>56.597293853759766</v>
      </c>
      <c r="S3" s="21">
        <v>0.41911765933036804</v>
      </c>
      <c r="T3" s="2" t="s">
        <v>24</v>
      </c>
      <c r="U3" s="2"/>
      <c r="V3" s="2"/>
      <c r="W3" s="2"/>
      <c r="X3" s="2"/>
      <c r="Y3" s="2"/>
      <c r="Z3" s="2"/>
    </row>
    <row r="4" spans="1:26" ht="12.75" customHeight="1" x14ac:dyDescent="0.25">
      <c r="A4" s="2" t="s">
        <v>17</v>
      </c>
      <c r="B4" s="26">
        <v>6.6742429733276367</v>
      </c>
      <c r="C4" s="19">
        <v>3.4879486560821533</v>
      </c>
      <c r="D4" s="19">
        <v>3.5025641918182373</v>
      </c>
      <c r="E4" s="21">
        <v>9.0225562453269958E-2</v>
      </c>
      <c r="F4" s="21">
        <v>0.55555558204650879</v>
      </c>
      <c r="G4" s="22">
        <v>4</v>
      </c>
      <c r="H4" s="21">
        <v>0.54545456171035767</v>
      </c>
      <c r="I4" s="21">
        <v>0.63636362552642822</v>
      </c>
      <c r="J4" s="21">
        <v>0.60606062412261963</v>
      </c>
      <c r="K4" s="21">
        <v>0.75757575035095215</v>
      </c>
      <c r="L4" s="21">
        <v>0.19847328960895538</v>
      </c>
      <c r="M4" s="21">
        <v>0.38636362552642822</v>
      </c>
      <c r="N4" s="21">
        <v>0.34848484396934509</v>
      </c>
      <c r="O4" s="21">
        <v>0.7786259651184082</v>
      </c>
      <c r="P4" s="21">
        <v>0.41085270047187805</v>
      </c>
      <c r="Q4" s="21">
        <v>0.39230769872665405</v>
      </c>
      <c r="R4" s="19">
        <v>63.047512054443359</v>
      </c>
      <c r="S4" s="21">
        <v>0.24812030792236328</v>
      </c>
      <c r="T4" s="2" t="s">
        <v>18</v>
      </c>
      <c r="U4" s="2"/>
      <c r="V4" s="2"/>
      <c r="W4" s="2"/>
      <c r="X4" s="2"/>
      <c r="Y4" s="2"/>
      <c r="Z4" s="2"/>
    </row>
    <row r="5" spans="1:26" ht="12.75" customHeight="1" x14ac:dyDescent="0.25">
      <c r="A5" s="2" t="s">
        <v>19</v>
      </c>
      <c r="B5" s="26">
        <v>6.818690299987793</v>
      </c>
      <c r="C5" s="19">
        <v>3.1062500476837158</v>
      </c>
      <c r="D5" s="19">
        <v>3.2687499523162842</v>
      </c>
      <c r="E5" s="21">
        <v>0.11249999701976776</v>
      </c>
      <c r="F5" s="21">
        <v>0.77777779102325439</v>
      </c>
      <c r="G5" s="22">
        <v>8</v>
      </c>
      <c r="H5" s="21">
        <v>0.58139532804489136</v>
      </c>
      <c r="I5" s="21">
        <v>0.90697675943374634</v>
      </c>
      <c r="J5" s="21">
        <v>0.74418604373931885</v>
      </c>
      <c r="K5" s="21">
        <v>0.8139534592628479</v>
      </c>
      <c r="L5" s="21">
        <v>0.34999999403953552</v>
      </c>
      <c r="M5" s="21">
        <v>0.63291138410568237</v>
      </c>
      <c r="N5" s="21">
        <v>0.48101267218589783</v>
      </c>
      <c r="O5" s="21">
        <v>0.73417723178863525</v>
      </c>
      <c r="P5" s="21">
        <v>0.43037974834442139</v>
      </c>
      <c r="Q5" s="21">
        <v>0.46835443377494812</v>
      </c>
      <c r="R5" s="19">
        <v>54.517177581787109</v>
      </c>
      <c r="S5" s="21">
        <v>0.53750002384185791</v>
      </c>
      <c r="T5" s="2" t="s">
        <v>18</v>
      </c>
      <c r="U5" s="2"/>
      <c r="V5" s="2"/>
      <c r="W5" s="2"/>
      <c r="X5" s="2"/>
      <c r="Y5" s="2"/>
      <c r="Z5" s="2"/>
    </row>
    <row r="6" spans="1:26" ht="12.75" customHeight="1" x14ac:dyDescent="0.25">
      <c r="A6" s="2" t="s">
        <v>16</v>
      </c>
      <c r="B6" s="26">
        <v>5.6377048492431641</v>
      </c>
      <c r="C6" s="19">
        <v>3.4755101203918457</v>
      </c>
      <c r="D6" s="19">
        <v>3.5057823657989502</v>
      </c>
      <c r="E6" s="21">
        <v>7.0000000298023224E-2</v>
      </c>
      <c r="F6" s="21">
        <v>2.222222276031971E-2</v>
      </c>
      <c r="G6" s="22">
        <v>5</v>
      </c>
      <c r="H6" s="21">
        <v>0.21311475336551666</v>
      </c>
      <c r="I6" s="21">
        <v>0.31147539615631104</v>
      </c>
      <c r="J6" s="21">
        <v>0.21311475336551666</v>
      </c>
      <c r="K6" s="21">
        <v>0.26229506731033325</v>
      </c>
      <c r="L6" s="21">
        <v>0.15151515603065491</v>
      </c>
      <c r="M6" s="21">
        <v>0.6428571343421936</v>
      </c>
      <c r="N6" s="21">
        <v>0.65306121110916138</v>
      </c>
      <c r="O6" s="21">
        <v>0.82474225759506226</v>
      </c>
      <c r="P6" s="21">
        <v>0.25773194432258606</v>
      </c>
      <c r="Q6" s="21">
        <v>0.29896906018257141</v>
      </c>
      <c r="R6" s="19">
        <v>53.964622497558594</v>
      </c>
      <c r="S6" s="21">
        <v>0.61000001430511475</v>
      </c>
      <c r="T6" s="2" t="s">
        <v>15</v>
      </c>
      <c r="U6" s="2"/>
      <c r="V6" s="2"/>
      <c r="W6" s="2"/>
      <c r="X6" s="2"/>
      <c r="Y6" s="2"/>
      <c r="Z6" s="2"/>
    </row>
    <row r="7" spans="1:26" ht="12.75" customHeight="1" x14ac:dyDescent="0.25">
      <c r="A7" s="2" t="s">
        <v>20</v>
      </c>
      <c r="B7" s="26">
        <v>6.5320005416870117</v>
      </c>
      <c r="C7" s="19">
        <v>3.0054111480712891</v>
      </c>
      <c r="D7" s="19">
        <v>3.0967321395874023</v>
      </c>
      <c r="E7" s="21">
        <v>0.16774193942546844</v>
      </c>
      <c r="F7" s="21">
        <v>0.60000002384185791</v>
      </c>
      <c r="G7" s="22">
        <v>4</v>
      </c>
      <c r="H7" s="21">
        <v>0.6603773832321167</v>
      </c>
      <c r="I7" s="21">
        <v>0.75471699237823486</v>
      </c>
      <c r="J7" s="21">
        <v>0.71698111295700073</v>
      </c>
      <c r="K7" s="21">
        <v>0.69811320304870605</v>
      </c>
      <c r="L7" s="21">
        <v>0.24025973677635193</v>
      </c>
      <c r="M7" s="21">
        <v>0.43225806951522827</v>
      </c>
      <c r="N7" s="21">
        <v>0.40645161271095276</v>
      </c>
      <c r="O7" s="21">
        <v>0.81699347496032715</v>
      </c>
      <c r="P7" s="21">
        <v>0.33112582564353943</v>
      </c>
      <c r="Q7" s="21">
        <v>0.30921053886413574</v>
      </c>
      <c r="R7" s="19">
        <v>57.502128601074219</v>
      </c>
      <c r="S7" s="21">
        <v>0.34193548560142517</v>
      </c>
      <c r="T7" s="2" t="s">
        <v>21</v>
      </c>
      <c r="U7" s="2"/>
      <c r="V7" s="2"/>
      <c r="W7" s="2"/>
      <c r="X7" s="2"/>
      <c r="Y7" s="2"/>
      <c r="Z7" s="2"/>
    </row>
    <row r="8" spans="1:26" ht="12.75" customHeight="1" x14ac:dyDescent="0.25">
      <c r="A8" s="2" t="s">
        <v>22</v>
      </c>
      <c r="B8" s="26">
        <v>5.9883975982666016</v>
      </c>
      <c r="C8" s="19">
        <v>3.2957031726837158</v>
      </c>
      <c r="D8" s="19">
        <v>3.4395833015441895</v>
      </c>
      <c r="E8" s="21">
        <v>0.14705882966518402</v>
      </c>
      <c r="F8" s="21">
        <v>0.3333333432674408</v>
      </c>
      <c r="G8" s="22">
        <v>6</v>
      </c>
      <c r="H8" s="21">
        <v>0.59259259700775146</v>
      </c>
      <c r="I8" s="21">
        <v>0.62962961196899414</v>
      </c>
      <c r="J8" s="21">
        <v>0.48148149251937866</v>
      </c>
      <c r="K8" s="21">
        <v>0.51851850748062134</v>
      </c>
      <c r="L8" s="21">
        <v>0.17557251453399658</v>
      </c>
      <c r="M8" s="21">
        <v>0.53731346130371094</v>
      </c>
      <c r="N8" s="21">
        <v>0.36363637447357178</v>
      </c>
      <c r="O8" s="21">
        <v>0.8217054009437561</v>
      </c>
      <c r="P8" s="21">
        <v>0.77099233865737915</v>
      </c>
      <c r="Q8" s="21">
        <v>0.61832058429718018</v>
      </c>
      <c r="R8" s="19">
        <v>56.229290008544922</v>
      </c>
      <c r="S8" s="21">
        <v>0.18656715750694275</v>
      </c>
      <c r="T8" s="2" t="s">
        <v>15</v>
      </c>
      <c r="U8" s="2"/>
      <c r="V8" s="2"/>
      <c r="W8" s="2"/>
      <c r="X8" s="2"/>
      <c r="Y8" s="2"/>
      <c r="Z8" s="2"/>
    </row>
    <row r="9" spans="1:26" ht="12.75" customHeight="1" x14ac:dyDescent="0.25">
      <c r="A9" s="2" t="s">
        <v>25</v>
      </c>
      <c r="B9" s="26">
        <v>7.0806899070739746</v>
      </c>
      <c r="C9" s="19">
        <v>3.2116401195526123</v>
      </c>
      <c r="D9" s="19">
        <v>3.3690476417541504</v>
      </c>
      <c r="E9" s="21">
        <v>0.12307692319154739</v>
      </c>
      <c r="F9" s="21">
        <v>0.2800000011920929</v>
      </c>
      <c r="G9" s="22">
        <v>2</v>
      </c>
      <c r="H9" s="21">
        <v>0.48148149251937866</v>
      </c>
      <c r="I9" s="21">
        <v>0.67901235818862915</v>
      </c>
      <c r="J9" s="21">
        <v>0.56790125370025635</v>
      </c>
      <c r="K9" s="21">
        <v>0.61728394031524658</v>
      </c>
      <c r="L9" s="21">
        <v>0.30909091234207153</v>
      </c>
      <c r="M9" s="21">
        <v>0.4375</v>
      </c>
      <c r="N9" s="21">
        <v>0.34645670652389526</v>
      </c>
      <c r="O9" s="21">
        <v>0.75999999046325684</v>
      </c>
      <c r="P9" s="21">
        <v>0.41935482621192932</v>
      </c>
      <c r="Q9" s="21">
        <v>0.39516130089759827</v>
      </c>
      <c r="R9" s="19">
        <v>60.854759216308594</v>
      </c>
      <c r="S9" s="21">
        <v>0.62015503644943237</v>
      </c>
      <c r="T9" s="2" t="s">
        <v>26</v>
      </c>
      <c r="U9" s="2"/>
      <c r="V9" s="2"/>
      <c r="W9" s="2"/>
      <c r="X9" s="2"/>
      <c r="Y9" s="2"/>
      <c r="Z9" s="2"/>
    </row>
    <row r="10" spans="1:26" ht="12.75" customHeight="1" x14ac:dyDescent="0.25">
      <c r="A10" s="2" t="s">
        <v>23</v>
      </c>
      <c r="B10" s="26">
        <v>6.6506748199462891</v>
      </c>
      <c r="C10" s="19">
        <v>3.2714836597442627</v>
      </c>
      <c r="D10" s="19">
        <v>3.3338150978088379</v>
      </c>
      <c r="E10" s="21">
        <v>0.15217390656471252</v>
      </c>
      <c r="F10" s="21">
        <v>0.38461539149284363</v>
      </c>
      <c r="G10" s="22">
        <v>3</v>
      </c>
      <c r="H10" s="21">
        <v>0.43939393758773804</v>
      </c>
      <c r="I10" s="21">
        <v>0.69696968793869019</v>
      </c>
      <c r="J10" s="21">
        <v>0.53030300140380859</v>
      </c>
      <c r="K10" s="21">
        <v>0.60606062412261963</v>
      </c>
      <c r="L10" s="21">
        <v>0.23295454680919647</v>
      </c>
      <c r="M10" s="21">
        <v>0.43333333730697632</v>
      </c>
      <c r="N10" s="21">
        <v>0.41436463594436646</v>
      </c>
      <c r="O10" s="21">
        <v>0.81976741552352905</v>
      </c>
      <c r="P10" s="21">
        <v>0.59770113229751587</v>
      </c>
      <c r="Q10" s="21">
        <v>0.48850575089454651</v>
      </c>
      <c r="R10" s="19">
        <v>63.033096313476563</v>
      </c>
      <c r="S10" s="21">
        <v>0.34078213572502136</v>
      </c>
      <c r="T10" s="2" t="s">
        <v>24</v>
      </c>
      <c r="U10" s="2"/>
      <c r="V10" s="2"/>
      <c r="W10" s="2"/>
      <c r="X10" s="2"/>
      <c r="Y10" s="2"/>
      <c r="Z10" s="2"/>
    </row>
    <row r="11" spans="1:26" ht="12.75" customHeight="1" x14ac:dyDescent="0.25">
      <c r="A11" s="2" t="s">
        <v>27</v>
      </c>
      <c r="B11" s="26">
        <v>7.393796443939209</v>
      </c>
      <c r="C11" s="19">
        <v>3.1535947322845459</v>
      </c>
      <c r="D11" s="19">
        <v>3.2250823974609375</v>
      </c>
      <c r="E11" s="21">
        <v>0.2641509473323822</v>
      </c>
      <c r="F11" s="21">
        <v>0.83333331346511841</v>
      </c>
      <c r="G11" s="22">
        <v>4</v>
      </c>
      <c r="H11" s="21">
        <v>0.61016947031021118</v>
      </c>
      <c r="I11" s="21">
        <v>0.93220341205596924</v>
      </c>
      <c r="J11" s="21">
        <v>0.67796611785888672</v>
      </c>
      <c r="K11" s="21">
        <v>0.81355929374694824</v>
      </c>
      <c r="L11" s="21">
        <v>0.28431373834609985</v>
      </c>
      <c r="M11" s="21">
        <v>0.60784316062927246</v>
      </c>
      <c r="N11" s="21">
        <v>0.47524753212928772</v>
      </c>
      <c r="O11" s="21">
        <v>0.74000000953674316</v>
      </c>
      <c r="P11" s="21">
        <v>0.46078431606292725</v>
      </c>
      <c r="Q11" s="21">
        <v>0.45098039507865906</v>
      </c>
      <c r="R11" s="19">
        <v>61.055923461914063</v>
      </c>
      <c r="S11" s="21">
        <v>0.55660378932952881</v>
      </c>
      <c r="T11" s="2" t="s">
        <v>24</v>
      </c>
      <c r="U11" s="2"/>
      <c r="V11" s="2"/>
      <c r="W11" s="2"/>
      <c r="X11" s="2"/>
      <c r="Y11" s="2"/>
      <c r="Z11" s="2"/>
    </row>
    <row r="12" spans="1:26" ht="12.75" customHeight="1" x14ac:dyDescent="0.25">
      <c r="A12" s="2" t="s">
        <v>28</v>
      </c>
      <c r="B12" s="26">
        <v>6.9088330268859863</v>
      </c>
      <c r="C12" s="19">
        <v>3.038095235824585</v>
      </c>
      <c r="D12" s="19">
        <v>3.2323808670043945</v>
      </c>
      <c r="E12" s="21">
        <v>0.22727273404598236</v>
      </c>
      <c r="F12" s="21">
        <v>0.69999998807907104</v>
      </c>
      <c r="G12" s="22">
        <v>2</v>
      </c>
      <c r="H12" s="21">
        <v>0.49180328845977783</v>
      </c>
      <c r="I12" s="21">
        <v>0.7049180269241333</v>
      </c>
      <c r="J12" s="21">
        <v>0.5901639461517334</v>
      </c>
      <c r="K12" s="21">
        <v>0.5901639461517334</v>
      </c>
      <c r="L12" s="21">
        <v>0.32075470685958862</v>
      </c>
      <c r="M12" s="21">
        <v>0.45192307233810425</v>
      </c>
      <c r="N12" s="21">
        <v>0.3461538553237915</v>
      </c>
      <c r="O12" s="21">
        <v>0.58653843402862549</v>
      </c>
      <c r="P12" s="21">
        <v>0.48039215803146362</v>
      </c>
      <c r="Q12" s="21">
        <v>0.52427184581756592</v>
      </c>
      <c r="R12" s="19">
        <v>57.816249847412109</v>
      </c>
      <c r="S12" s="21">
        <v>0.54629629850387573</v>
      </c>
      <c r="T12" s="2" t="s">
        <v>26</v>
      </c>
      <c r="U12" s="2"/>
      <c r="V12" s="2"/>
      <c r="W12" s="2"/>
      <c r="X12" s="2"/>
      <c r="Y12" s="2"/>
      <c r="Z12" s="2"/>
    </row>
    <row r="13" spans="1:26" ht="12.75" customHeight="1" x14ac:dyDescent="0.25">
      <c r="A13" s="2" t="s">
        <v>30</v>
      </c>
      <c r="B13" s="26">
        <v>6.7891025543212891</v>
      </c>
      <c r="C13" s="19">
        <v>3.0789790153503418</v>
      </c>
      <c r="D13" s="19">
        <v>3.2454545497894287</v>
      </c>
      <c r="E13" s="21">
        <v>0.20338982343673706</v>
      </c>
      <c r="F13" s="21">
        <v>0.66666668653488159</v>
      </c>
      <c r="G13" s="22">
        <v>4</v>
      </c>
      <c r="H13" s="21">
        <v>0.45454546809196472</v>
      </c>
      <c r="I13" s="21">
        <v>0.69696968793869019</v>
      </c>
      <c r="J13" s="21">
        <v>0.53030300140380859</v>
      </c>
      <c r="K13" s="21">
        <v>0.63636362552642822</v>
      </c>
      <c r="L13" s="21">
        <v>0.33628317713737488</v>
      </c>
      <c r="M13" s="21">
        <v>0.45217391848564148</v>
      </c>
      <c r="N13" s="21">
        <v>0.29565218091011047</v>
      </c>
      <c r="O13" s="21">
        <v>0.66371679306030273</v>
      </c>
      <c r="P13" s="21">
        <v>0.33944955468177795</v>
      </c>
      <c r="Q13" s="21">
        <v>0.38532111048698425</v>
      </c>
      <c r="R13" s="19">
        <v>57.642505645751953</v>
      </c>
      <c r="S13" s="21">
        <v>0.5517241358757019</v>
      </c>
      <c r="T13" s="2" t="s">
        <v>15</v>
      </c>
      <c r="U13" s="2"/>
      <c r="V13" s="2"/>
      <c r="W13" s="2"/>
      <c r="X13" s="2"/>
      <c r="Y13" s="2"/>
      <c r="Z13" s="2"/>
    </row>
    <row r="14" spans="1:26" ht="12.75" customHeight="1" x14ac:dyDescent="0.25">
      <c r="A14" s="2" t="s">
        <v>32</v>
      </c>
      <c r="B14" s="26">
        <v>7.0474228858947754</v>
      </c>
      <c r="C14" s="19">
        <v>2.8661971092224121</v>
      </c>
      <c r="D14" s="19">
        <v>3.1347517967224121</v>
      </c>
      <c r="E14" s="21">
        <v>0.35135135054588318</v>
      </c>
      <c r="F14" s="21">
        <v>0.625</v>
      </c>
      <c r="G14" s="22">
        <v>4</v>
      </c>
      <c r="H14" s="21">
        <v>0.34177213907241821</v>
      </c>
      <c r="I14" s="21">
        <v>0.78481012582778931</v>
      </c>
      <c r="J14" s="21">
        <v>0.65822786092758179</v>
      </c>
      <c r="K14" s="21">
        <v>0.68354427814483643</v>
      </c>
      <c r="L14" s="21">
        <v>0.42253521084785461</v>
      </c>
      <c r="M14" s="21">
        <v>0.35211268067359924</v>
      </c>
      <c r="N14" s="21">
        <v>0.22142857313156128</v>
      </c>
      <c r="O14" s="21">
        <v>0.72142857313156128</v>
      </c>
      <c r="P14" s="21">
        <v>0.25899279117584229</v>
      </c>
      <c r="Q14" s="21">
        <v>0.30935251712799072</v>
      </c>
      <c r="R14" s="19">
        <v>62.747661590576172</v>
      </c>
      <c r="S14" s="21">
        <v>0.52413791418075562</v>
      </c>
      <c r="T14" s="2" t="s">
        <v>15</v>
      </c>
      <c r="U14" s="2"/>
      <c r="V14" s="2"/>
      <c r="W14" s="2"/>
      <c r="X14" s="2"/>
      <c r="Y14" s="2"/>
      <c r="Z14" s="2"/>
    </row>
    <row r="15" spans="1:26" ht="12.75" customHeight="1" x14ac:dyDescent="0.25">
      <c r="A15" s="2" t="s">
        <v>31</v>
      </c>
      <c r="B15" s="26">
        <v>6.4986705780029297</v>
      </c>
      <c r="C15" s="19">
        <v>3.0186543464660645</v>
      </c>
      <c r="D15" s="19">
        <v>3.2118828296661377</v>
      </c>
      <c r="E15" s="21">
        <v>0.24561403691768646</v>
      </c>
      <c r="F15" s="21">
        <v>0.80000001192092896</v>
      </c>
      <c r="G15" s="22">
        <v>5</v>
      </c>
      <c r="H15" s="21">
        <v>0.4098360538482666</v>
      </c>
      <c r="I15" s="21">
        <v>0.78688526153564453</v>
      </c>
      <c r="J15" s="21">
        <v>0.62295079231262207</v>
      </c>
      <c r="K15" s="21">
        <v>0.75409835577011108</v>
      </c>
      <c r="L15" s="21">
        <v>0.40366971492767334</v>
      </c>
      <c r="M15" s="21">
        <v>0.45945945382118225</v>
      </c>
      <c r="N15" s="21">
        <v>0.40909090638160706</v>
      </c>
      <c r="O15" s="21">
        <v>0.6111111044883728</v>
      </c>
      <c r="P15" s="21">
        <v>0.44859811663627625</v>
      </c>
      <c r="Q15" s="21">
        <v>0.42056074738502502</v>
      </c>
      <c r="R15" s="19">
        <v>50.296638488769531</v>
      </c>
      <c r="S15" s="21">
        <v>0.5350877046585083</v>
      </c>
      <c r="T15" s="2" t="s">
        <v>18</v>
      </c>
      <c r="U15" s="2"/>
      <c r="V15" s="2"/>
      <c r="W15" s="2"/>
      <c r="X15" s="2"/>
      <c r="Y15" s="2"/>
      <c r="Z15" s="2"/>
    </row>
    <row r="16" spans="1:26" ht="12.75" customHeight="1" x14ac:dyDescent="0.25">
      <c r="A16" s="2" t="s">
        <v>33</v>
      </c>
      <c r="B16" s="26">
        <v>7.0017857551574707</v>
      </c>
      <c r="C16" s="19">
        <v>3.1017441749572754</v>
      </c>
      <c r="D16" s="19">
        <v>3.2464706897735596</v>
      </c>
      <c r="E16" s="21">
        <v>0.18918919563293457</v>
      </c>
      <c r="F16" s="21">
        <v>0.57142859697341919</v>
      </c>
      <c r="G16" s="22">
        <v>3</v>
      </c>
      <c r="H16" s="21">
        <v>0.5</v>
      </c>
      <c r="I16" s="21">
        <v>0.75</v>
      </c>
      <c r="J16" s="21">
        <v>0.60000002384185791</v>
      </c>
      <c r="K16" s="21">
        <v>0.72000002861022949</v>
      </c>
      <c r="L16" s="21">
        <v>0.30681818723678589</v>
      </c>
      <c r="M16" s="21">
        <v>0.47398844361305237</v>
      </c>
      <c r="N16" s="21">
        <v>0.27906978130340576</v>
      </c>
      <c r="O16" s="21">
        <v>0.78235292434692383</v>
      </c>
      <c r="P16" s="21">
        <v>0.29518070816993713</v>
      </c>
      <c r="Q16" s="21">
        <v>0.33536586165428162</v>
      </c>
      <c r="R16" s="19">
        <v>59.789714813232422</v>
      </c>
      <c r="S16" s="21">
        <v>0.53038674592971802</v>
      </c>
      <c r="T16" s="2" t="s">
        <v>26</v>
      </c>
      <c r="U16" s="2"/>
      <c r="V16" s="2"/>
      <c r="W16" s="2"/>
      <c r="X16" s="2"/>
      <c r="Y16" s="2"/>
      <c r="Z16" s="2"/>
    </row>
    <row r="17" spans="1:26" ht="12.75" customHeight="1" x14ac:dyDescent="0.25">
      <c r="A17" s="2" t="s">
        <v>34</v>
      </c>
      <c r="B17" s="26">
        <v>6.9298982620239258</v>
      </c>
      <c r="C17" s="19">
        <v>3.1686403751373291</v>
      </c>
      <c r="D17" s="19">
        <v>3.3432016372680664</v>
      </c>
      <c r="E17" s="21">
        <v>0.14838708937168121</v>
      </c>
      <c r="F17" s="21">
        <v>0.4848484992980957</v>
      </c>
      <c r="G17" s="22">
        <v>3</v>
      </c>
      <c r="H17" s="21">
        <v>0.54081630706787109</v>
      </c>
      <c r="I17" s="21">
        <v>0.78571426868438721</v>
      </c>
      <c r="J17" s="21">
        <v>0.59183675050735474</v>
      </c>
      <c r="K17" s="21">
        <v>0.65306121110916138</v>
      </c>
      <c r="L17" s="21">
        <v>0.41843971610069275</v>
      </c>
      <c r="M17" s="21">
        <v>0.40522876381874084</v>
      </c>
      <c r="N17" s="21">
        <v>0.35526314377784729</v>
      </c>
      <c r="O17" s="21">
        <v>0.53642386198043823</v>
      </c>
      <c r="P17" s="21">
        <v>0.39864864945411682</v>
      </c>
      <c r="Q17" s="21">
        <v>0.38926175236701965</v>
      </c>
      <c r="R17" s="19">
        <v>56.510765075683594</v>
      </c>
      <c r="S17" s="21">
        <v>0.62745100259780884</v>
      </c>
      <c r="T17" s="2" t="s">
        <v>35</v>
      </c>
      <c r="U17" s="2"/>
      <c r="V17" s="2"/>
      <c r="W17" s="2"/>
      <c r="X17" s="2"/>
      <c r="Y17" s="2"/>
      <c r="Z17" s="2"/>
    </row>
    <row r="18" spans="1:26" ht="12.75" customHeight="1" x14ac:dyDescent="0.25">
      <c r="A18" s="2" t="s">
        <v>36</v>
      </c>
      <c r="B18" s="26">
        <v>6.8413763046264648</v>
      </c>
      <c r="C18" s="19">
        <v>3.2200000286102295</v>
      </c>
      <c r="D18" s="19">
        <v>3.3831615447998047</v>
      </c>
      <c r="E18" s="21">
        <v>0.39423078298568726</v>
      </c>
      <c r="F18" s="21">
        <v>0.6875</v>
      </c>
      <c r="G18" s="22">
        <v>5</v>
      </c>
      <c r="H18" s="21">
        <v>0.47999998927116394</v>
      </c>
      <c r="I18" s="21">
        <v>0.80000001192092896</v>
      </c>
      <c r="J18" s="21">
        <v>0.57999998331069946</v>
      </c>
      <c r="K18" s="21">
        <v>0.74000000953674316</v>
      </c>
      <c r="L18" s="21">
        <v>0.34313726425170898</v>
      </c>
      <c r="M18" s="21">
        <v>0.38613861799240112</v>
      </c>
      <c r="N18" s="21">
        <v>0.29702970385551453</v>
      </c>
      <c r="O18" s="21">
        <v>0.68000000715255737</v>
      </c>
      <c r="P18" s="21">
        <v>0.2916666567325592</v>
      </c>
      <c r="Q18" s="21">
        <v>0.2916666567325592</v>
      </c>
      <c r="R18" s="19">
        <v>56.377792358398438</v>
      </c>
      <c r="S18" s="21">
        <v>0.48076921701431274</v>
      </c>
      <c r="T18" s="2" t="s">
        <v>35</v>
      </c>
      <c r="U18" s="2"/>
      <c r="V18" s="2"/>
      <c r="W18" s="2"/>
      <c r="X18" s="2"/>
      <c r="Y18" s="2"/>
      <c r="Z18" s="2"/>
    </row>
    <row r="19" spans="1:26" ht="12.75" customHeight="1" x14ac:dyDescent="0.25">
      <c r="A19" s="2" t="s">
        <v>37</v>
      </c>
      <c r="B19" s="26">
        <v>7.0081672668457031</v>
      </c>
      <c r="C19" s="19">
        <v>3.1851563453674316</v>
      </c>
      <c r="D19" s="19">
        <v>3.4746770858764648</v>
      </c>
      <c r="E19" s="21">
        <v>0.28148147463798523</v>
      </c>
      <c r="F19" s="21">
        <v>0.72000002861022949</v>
      </c>
      <c r="G19" s="22">
        <v>5</v>
      </c>
      <c r="H19" s="21">
        <v>0.67088609933853149</v>
      </c>
      <c r="I19" s="21">
        <v>0.87341773509979248</v>
      </c>
      <c r="J19" s="21">
        <v>0.81012660264968872</v>
      </c>
      <c r="K19" s="21">
        <v>0.86075949668884277</v>
      </c>
      <c r="L19" s="21">
        <v>0.34586465358734131</v>
      </c>
      <c r="M19" s="21">
        <v>0.38759690523147583</v>
      </c>
      <c r="N19" s="21">
        <v>0.27131783962249756</v>
      </c>
      <c r="O19" s="21">
        <v>0.6484375</v>
      </c>
      <c r="P19" s="21">
        <v>0.37096774578094482</v>
      </c>
      <c r="Q19" s="21">
        <v>0.38709676265716553</v>
      </c>
      <c r="R19" s="19">
        <v>47.048648834228516</v>
      </c>
      <c r="S19" s="21">
        <v>0.58208954334259033</v>
      </c>
      <c r="T19" s="2" t="s">
        <v>18</v>
      </c>
      <c r="U19" s="2"/>
      <c r="V19" s="2"/>
      <c r="W19" s="2"/>
      <c r="X19" s="2"/>
      <c r="Y19" s="2"/>
      <c r="Z19" s="2"/>
    </row>
    <row r="20" spans="1:26" ht="12.75" customHeight="1" x14ac:dyDescent="0.25">
      <c r="A20" s="2" t="s">
        <v>38</v>
      </c>
      <c r="B20" s="26">
        <v>6.3937325477600098</v>
      </c>
      <c r="C20" s="19">
        <v>2.9804301261901855</v>
      </c>
      <c r="D20" s="19">
        <v>3.0777778625488281</v>
      </c>
      <c r="E20" s="21">
        <v>0.15151515603065491</v>
      </c>
      <c r="F20" s="21">
        <v>0.52631580829620361</v>
      </c>
      <c r="G20" s="22">
        <v>5</v>
      </c>
      <c r="H20" s="21">
        <v>0.57894736528396606</v>
      </c>
      <c r="I20" s="21">
        <v>0.71578949689865112</v>
      </c>
      <c r="J20" s="21">
        <v>0.55789476633071899</v>
      </c>
      <c r="K20" s="21">
        <v>0.64210528135299683</v>
      </c>
      <c r="L20" s="21">
        <v>0.37888199090957642</v>
      </c>
      <c r="M20" s="21">
        <v>0.542682945728302</v>
      </c>
      <c r="N20" s="21">
        <v>0.44785276055335999</v>
      </c>
      <c r="O20" s="21">
        <v>0.75</v>
      </c>
      <c r="P20" s="21">
        <v>0.31612902879714966</v>
      </c>
      <c r="Q20" s="21">
        <v>0.28846153616905212</v>
      </c>
      <c r="R20" s="19">
        <v>52.670230865478516</v>
      </c>
      <c r="S20" s="21">
        <v>0.57317072153091431</v>
      </c>
      <c r="T20" s="2" t="s">
        <v>24</v>
      </c>
      <c r="U20" s="2"/>
      <c r="V20" s="2"/>
      <c r="W20" s="2"/>
      <c r="X20" s="2"/>
      <c r="Y20" s="2"/>
      <c r="Z20" s="2"/>
    </row>
    <row r="21" spans="1:26" ht="12.75" customHeight="1" x14ac:dyDescent="0.25">
      <c r="A21" s="2" t="s">
        <v>39</v>
      </c>
      <c r="B21" s="26">
        <v>7.3893814086914063</v>
      </c>
      <c r="C21" s="19">
        <v>3.1813218593597412</v>
      </c>
      <c r="D21" s="19">
        <v>3.3425288200378418</v>
      </c>
      <c r="E21" s="21">
        <v>0.23728813230991364</v>
      </c>
      <c r="F21" s="21">
        <v>0.93103450536727905</v>
      </c>
      <c r="G21" s="22">
        <v>4</v>
      </c>
      <c r="H21" s="21">
        <v>0.63414633274078369</v>
      </c>
      <c r="I21" s="21">
        <v>0.7195122241973877</v>
      </c>
      <c r="J21" s="21">
        <v>0.60975611209869385</v>
      </c>
      <c r="K21" s="21">
        <v>0.67073172330856323</v>
      </c>
      <c r="L21" s="21">
        <v>0.4444444477558136</v>
      </c>
      <c r="M21" s="21">
        <v>0.46153846383094788</v>
      </c>
      <c r="N21" s="21">
        <v>0.32456141710281372</v>
      </c>
      <c r="O21" s="21">
        <v>0.70796459913253784</v>
      </c>
      <c r="P21" s="21">
        <v>0.3684210479259491</v>
      </c>
      <c r="Q21" s="21">
        <v>0.40000000596046448</v>
      </c>
      <c r="R21" s="19">
        <v>57.182380676269531</v>
      </c>
      <c r="S21" s="21">
        <v>0.69230771064758301</v>
      </c>
      <c r="T21" s="2" t="s">
        <v>15</v>
      </c>
      <c r="U21" s="2"/>
      <c r="V21" s="2"/>
      <c r="W21" s="2"/>
      <c r="X21" s="2"/>
      <c r="Y21" s="2"/>
      <c r="Z21" s="2"/>
    </row>
    <row r="22" spans="1:26" ht="12.75" customHeight="1" x14ac:dyDescent="0.25">
      <c r="A22" s="2" t="s">
        <v>40</v>
      </c>
      <c r="B22" s="26">
        <v>5.6174583435058594</v>
      </c>
      <c r="C22" s="19">
        <v>2.7587718963623047</v>
      </c>
      <c r="D22" s="19">
        <v>2.8947367668151855</v>
      </c>
      <c r="E22" s="21">
        <v>0.18032786250114441</v>
      </c>
      <c r="F22" s="21">
        <v>0.64999997615814209</v>
      </c>
      <c r="G22" s="22">
        <v>4</v>
      </c>
      <c r="H22" s="21">
        <v>0.46428570151329041</v>
      </c>
      <c r="I22" s="21">
        <v>0.69642859697341919</v>
      </c>
      <c r="J22" s="21">
        <v>0.46428570151329041</v>
      </c>
      <c r="K22" s="21">
        <v>0.6428571343421936</v>
      </c>
      <c r="L22" s="21">
        <v>0.4444444477558136</v>
      </c>
      <c r="M22" s="21">
        <v>0.68333333730697632</v>
      </c>
      <c r="N22" s="21">
        <v>0.47499999403953552</v>
      </c>
      <c r="O22" s="21">
        <v>0.72413790225982666</v>
      </c>
      <c r="P22" s="21">
        <v>0.40000000596046448</v>
      </c>
      <c r="Q22" s="21">
        <v>0.38260868191719055</v>
      </c>
      <c r="R22" s="19">
        <v>46.283473968505859</v>
      </c>
      <c r="S22" s="21">
        <v>0.44537815451622009</v>
      </c>
      <c r="T22" s="2" t="s">
        <v>35</v>
      </c>
      <c r="U22" s="2"/>
      <c r="V22" s="2"/>
      <c r="W22" s="2"/>
      <c r="X22" s="2"/>
      <c r="Y22" s="2"/>
      <c r="Z22" s="2"/>
    </row>
    <row r="23" spans="1:26" ht="12.75" customHeight="1" x14ac:dyDescent="0.25">
      <c r="A23" s="2" t="s">
        <v>76</v>
      </c>
      <c r="B23" s="26">
        <v>6.3187046051025391</v>
      </c>
      <c r="C23" s="19">
        <v>3.1248912811279297</v>
      </c>
      <c r="D23" s="19">
        <v>3.1763889789581299</v>
      </c>
      <c r="E23" s="21">
        <v>8.5427135229110718E-2</v>
      </c>
      <c r="F23" s="21">
        <v>0.3333333432674408</v>
      </c>
      <c r="G23" s="22">
        <v>6</v>
      </c>
      <c r="H23" s="21">
        <v>0.45185184478759766</v>
      </c>
      <c r="I23" s="21">
        <v>0.71111112833023071</v>
      </c>
      <c r="J23" s="21">
        <v>0.56296294927597046</v>
      </c>
      <c r="K23" s="21">
        <v>0.66666668653488159</v>
      </c>
      <c r="L23" s="21">
        <v>0.12113402038812637</v>
      </c>
      <c r="M23" s="21">
        <v>0.36434108018875122</v>
      </c>
      <c r="N23" s="21">
        <v>0.3385416567325592</v>
      </c>
      <c r="O23" s="21">
        <v>0.80314958095550537</v>
      </c>
      <c r="P23" s="21">
        <v>0.37730869650840759</v>
      </c>
      <c r="Q23" s="21">
        <v>0.31842106580734253</v>
      </c>
      <c r="R23" s="19">
        <v>59.102344512939453</v>
      </c>
      <c r="S23" s="21">
        <v>0.33078879117965698</v>
      </c>
      <c r="T23" s="2" t="s">
        <v>24</v>
      </c>
      <c r="U23" s="2"/>
      <c r="V23" s="2"/>
      <c r="W23" s="2"/>
      <c r="X23" s="2"/>
      <c r="Y23" s="2"/>
      <c r="Z23" s="2"/>
    </row>
    <row r="24" spans="1:26" ht="12.75" customHeight="1" x14ac:dyDescent="0.25">
      <c r="A24" s="2" t="s">
        <v>41</v>
      </c>
      <c r="B24" s="26">
        <v>6.2743773460388184</v>
      </c>
      <c r="C24" s="19">
        <v>2.9967319965362549</v>
      </c>
      <c r="D24" s="19">
        <v>3.0858085155487061</v>
      </c>
      <c r="E24" s="21">
        <v>0.25242719054222107</v>
      </c>
      <c r="F24" s="21">
        <v>0.5625</v>
      </c>
      <c r="G24" s="22">
        <v>4</v>
      </c>
      <c r="H24" s="21">
        <v>0.60784316062927246</v>
      </c>
      <c r="I24" s="21">
        <v>0.66666668653488159</v>
      </c>
      <c r="J24" s="21">
        <v>0.70588237047195435</v>
      </c>
      <c r="K24" s="21">
        <v>0.70588237047195435</v>
      </c>
      <c r="L24" s="21">
        <v>0.43137255311012268</v>
      </c>
      <c r="M24" s="21">
        <v>0.62376236915588379</v>
      </c>
      <c r="N24" s="21">
        <v>0.5899999737739563</v>
      </c>
      <c r="O24" s="21">
        <v>0.65306121110916138</v>
      </c>
      <c r="P24" s="21">
        <v>0.26530611515045166</v>
      </c>
      <c r="Q24" s="21">
        <v>0.24489796161651611</v>
      </c>
      <c r="R24" s="19">
        <v>54.197441101074219</v>
      </c>
      <c r="S24" s="21">
        <v>0.49514561891555786</v>
      </c>
      <c r="T24" s="2" t="s">
        <v>18</v>
      </c>
      <c r="U24" s="2"/>
      <c r="V24" s="2"/>
      <c r="W24" s="2"/>
      <c r="X24" s="2"/>
      <c r="Y24" s="2"/>
      <c r="Z24" s="2"/>
    </row>
    <row r="25" spans="1:26" ht="12.75" customHeight="1" x14ac:dyDescent="0.25">
      <c r="A25" s="2" t="s">
        <v>42</v>
      </c>
      <c r="B25" s="26">
        <v>5.236842155456543</v>
      </c>
      <c r="C25" s="19">
        <v>3.1101448535919189</v>
      </c>
      <c r="D25" s="19">
        <v>3.1936233043670654</v>
      </c>
      <c r="E25" s="21">
        <v>0.2222222238779068</v>
      </c>
      <c r="F25" s="21">
        <v>0.77777779102325439</v>
      </c>
      <c r="G25" s="22">
        <v>6</v>
      </c>
      <c r="H25" s="21">
        <v>0.28571429848670959</v>
      </c>
      <c r="I25" s="21">
        <v>0.57142859697341919</v>
      </c>
      <c r="J25" s="21">
        <v>0.37142857909202576</v>
      </c>
      <c r="K25" s="21">
        <v>0.54285717010498047</v>
      </c>
      <c r="L25" s="21">
        <v>0.25</v>
      </c>
      <c r="M25" s="21">
        <v>0.45098039507865906</v>
      </c>
      <c r="N25" s="21">
        <v>0.41584157943725586</v>
      </c>
      <c r="O25" s="21">
        <v>0.71681416034698486</v>
      </c>
      <c r="P25" s="21">
        <v>0.58928573131561279</v>
      </c>
      <c r="Q25" s="21">
        <v>0.48648649454116821</v>
      </c>
      <c r="R25" s="19">
        <v>41.452999114990234</v>
      </c>
      <c r="S25" s="21">
        <v>0.28695651888847351</v>
      </c>
      <c r="T25" s="2" t="s">
        <v>21</v>
      </c>
      <c r="U25" s="2"/>
      <c r="V25" s="2"/>
      <c r="W25" s="2"/>
      <c r="X25" s="2"/>
      <c r="Y25" s="2"/>
      <c r="Z25" s="2"/>
    </row>
    <row r="26" spans="1:26" ht="12.75" customHeight="1" x14ac:dyDescent="0.25">
      <c r="A26" s="2" t="s">
        <v>43</v>
      </c>
      <c r="B26" s="26">
        <v>6.3982868194580078</v>
      </c>
      <c r="C26" s="19">
        <v>3.2178053855895996</v>
      </c>
      <c r="D26" s="19">
        <v>3.3152174949645996</v>
      </c>
      <c r="E26" s="21">
        <v>0.18421052396297455</v>
      </c>
      <c r="F26" s="21">
        <v>0.5</v>
      </c>
      <c r="G26" s="22">
        <v>5</v>
      </c>
      <c r="H26" s="21">
        <v>0.33582088351249695</v>
      </c>
      <c r="I26" s="21">
        <v>0.66417908668518066</v>
      </c>
      <c r="J26" s="21">
        <v>0.45522388815879822</v>
      </c>
      <c r="K26" s="21">
        <v>0.5</v>
      </c>
      <c r="L26" s="21">
        <v>0.29787233471870422</v>
      </c>
      <c r="M26" s="21">
        <v>0.41433021426200867</v>
      </c>
      <c r="N26" s="21">
        <v>0.40566039085388184</v>
      </c>
      <c r="O26" s="21">
        <v>0.76635515689849854</v>
      </c>
      <c r="P26" s="21">
        <v>0.55279505252838135</v>
      </c>
      <c r="Q26" s="21">
        <v>0.39130434393882751</v>
      </c>
      <c r="R26" s="19">
        <v>61.607803344726563</v>
      </c>
      <c r="S26" s="21">
        <v>0.37537539005279541</v>
      </c>
      <c r="T26" s="2" t="s">
        <v>21</v>
      </c>
      <c r="U26" s="2"/>
      <c r="V26" s="2"/>
      <c r="W26" s="2"/>
      <c r="X26" s="2"/>
      <c r="Y26" s="2"/>
      <c r="Z26" s="2"/>
    </row>
    <row r="27" spans="1:26" ht="12.75" customHeight="1" x14ac:dyDescent="0.25">
      <c r="A27" s="2" t="s">
        <v>44</v>
      </c>
      <c r="B27" s="26">
        <v>6.3546133041381836</v>
      </c>
      <c r="C27" s="19">
        <v>3.04347825050354</v>
      </c>
      <c r="D27" s="19">
        <v>3.1369564533233643</v>
      </c>
      <c r="E27" s="21">
        <v>0.2265625</v>
      </c>
      <c r="F27" s="21">
        <v>0.76923078298568726</v>
      </c>
      <c r="G27" s="22">
        <v>6</v>
      </c>
      <c r="H27" s="21">
        <v>0.50943398475646973</v>
      </c>
      <c r="I27" s="21">
        <v>0.83018869161605835</v>
      </c>
      <c r="J27" s="21">
        <v>0.56603771448135376</v>
      </c>
      <c r="K27" s="21">
        <v>0.62264150381088257</v>
      </c>
      <c r="L27" s="21">
        <v>0.36220473051071167</v>
      </c>
      <c r="M27" s="21">
        <v>0.4523809552192688</v>
      </c>
      <c r="N27" s="21">
        <v>0.3174603283405304</v>
      </c>
      <c r="O27" s="21">
        <v>0.64754098653793335</v>
      </c>
      <c r="P27" s="21">
        <v>0.23140496015548706</v>
      </c>
      <c r="Q27" s="21">
        <v>0.30833333730697632</v>
      </c>
      <c r="R27" s="19">
        <v>55.160049438476563</v>
      </c>
      <c r="S27" s="21">
        <v>0.40944883227348328</v>
      </c>
      <c r="T27" s="2" t="s">
        <v>26</v>
      </c>
      <c r="U27" s="2"/>
      <c r="V27" s="2"/>
      <c r="W27" s="2"/>
      <c r="X27" s="2"/>
      <c r="Y27" s="2"/>
      <c r="Z27" s="2"/>
    </row>
    <row r="28" spans="1:26" ht="12.75" customHeight="1" x14ac:dyDescent="0.25">
      <c r="A28" s="2" t="s">
        <v>45</v>
      </c>
      <c r="B28" s="26">
        <v>6.7727766036987305</v>
      </c>
      <c r="C28" s="19">
        <v>3.0703475475311279</v>
      </c>
      <c r="D28" s="19">
        <v>3.1429448127746582</v>
      </c>
      <c r="E28" s="21">
        <v>0.15882353484630585</v>
      </c>
      <c r="F28" s="21">
        <v>0.53846156597137451</v>
      </c>
      <c r="G28" s="22">
        <v>8.5</v>
      </c>
      <c r="H28" s="21">
        <v>0.58333331346511841</v>
      </c>
      <c r="I28" s="21">
        <v>0.80000001192092896</v>
      </c>
      <c r="J28" s="21">
        <v>0.53333336114883423</v>
      </c>
      <c r="K28" s="21">
        <v>0.71666663885116577</v>
      </c>
      <c r="L28" s="21">
        <v>0.1768292635679245</v>
      </c>
      <c r="M28" s="21">
        <v>0.20606060326099396</v>
      </c>
      <c r="N28" s="21">
        <v>0.20000000298023224</v>
      </c>
      <c r="O28" s="21">
        <v>0.79012346267700195</v>
      </c>
      <c r="P28" s="21">
        <v>0.36875000596046448</v>
      </c>
      <c r="Q28" s="21">
        <v>0.39506173133850098</v>
      </c>
      <c r="R28" s="19">
        <v>61.635265350341797</v>
      </c>
      <c r="S28" s="21">
        <v>0.3452380895614624</v>
      </c>
      <c r="T28" s="2" t="s">
        <v>21</v>
      </c>
      <c r="U28" s="2"/>
      <c r="V28" s="2"/>
      <c r="W28" s="2"/>
      <c r="X28" s="2"/>
      <c r="Y28" s="2"/>
      <c r="Z28" s="2"/>
    </row>
    <row r="29" spans="1:26" ht="12.75" customHeight="1" x14ac:dyDescent="0.25">
      <c r="A29" s="2" t="s">
        <v>46</v>
      </c>
      <c r="B29" s="26">
        <v>6.3401656150817871</v>
      </c>
      <c r="C29" s="19">
        <v>3.2117063999176025</v>
      </c>
      <c r="D29" s="19">
        <v>3.2984127998352051</v>
      </c>
      <c r="E29" s="21">
        <v>0.18390804529190063</v>
      </c>
      <c r="F29" s="21">
        <v>0.75</v>
      </c>
      <c r="G29" s="22">
        <v>6</v>
      </c>
      <c r="H29" s="21">
        <v>0.42253521084785461</v>
      </c>
      <c r="I29" s="21">
        <v>0.64788734912872314</v>
      </c>
      <c r="J29" s="21">
        <v>0.63380283117294312</v>
      </c>
      <c r="K29" s="21">
        <v>0.63380283117294312</v>
      </c>
      <c r="L29" s="21">
        <v>0.20710058510303497</v>
      </c>
      <c r="M29" s="21">
        <v>0.6845238208770752</v>
      </c>
      <c r="N29" s="21">
        <v>0.31736525893211365</v>
      </c>
      <c r="O29" s="21">
        <v>0.8461538553237915</v>
      </c>
      <c r="P29" s="21">
        <v>0.26506024599075317</v>
      </c>
      <c r="Q29" s="21">
        <v>0.30120483040809631</v>
      </c>
      <c r="R29" s="19">
        <v>55.195755004882813</v>
      </c>
      <c r="S29" s="21">
        <v>0.40116280317306519</v>
      </c>
      <c r="T29" s="2" t="s">
        <v>21</v>
      </c>
      <c r="U29" s="2"/>
      <c r="V29" s="2"/>
      <c r="W29" s="2"/>
      <c r="X29" s="2"/>
      <c r="Y29" s="2"/>
      <c r="Z29" s="2"/>
    </row>
    <row r="30" spans="1:26" ht="12.75" customHeight="1" x14ac:dyDescent="0.25">
      <c r="A30" s="2" t="s">
        <v>47</v>
      </c>
      <c r="B30" s="26">
        <v>6.0376214981079102</v>
      </c>
      <c r="C30" s="19">
        <v>3.3833332061767578</v>
      </c>
      <c r="D30" s="19">
        <v>3.4216494560241699</v>
      </c>
      <c r="E30" s="21">
        <v>0.15999999642372131</v>
      </c>
      <c r="F30" s="21">
        <v>0.625</v>
      </c>
      <c r="G30" s="22">
        <v>7</v>
      </c>
      <c r="H30" s="21">
        <v>0.39534884691238403</v>
      </c>
      <c r="I30" s="21">
        <v>0.67441862821578979</v>
      </c>
      <c r="J30" s="21">
        <v>0.4883720874786377</v>
      </c>
      <c r="K30" s="21">
        <v>0.5116279125213623</v>
      </c>
      <c r="L30" s="21">
        <v>0.2708333432674408</v>
      </c>
      <c r="M30" s="21">
        <v>0.57954543828964233</v>
      </c>
      <c r="N30" s="21">
        <v>0.48913043737411499</v>
      </c>
      <c r="O30" s="21">
        <v>0.6086956262588501</v>
      </c>
      <c r="P30" s="21">
        <v>0.37777778506278992</v>
      </c>
      <c r="Q30" s="21">
        <v>0.3333333432674408</v>
      </c>
      <c r="R30" s="19">
        <v>53.985263824462891</v>
      </c>
      <c r="S30" s="21">
        <v>0.43000000715255737</v>
      </c>
      <c r="T30" s="2" t="s">
        <v>15</v>
      </c>
      <c r="U30" s="2"/>
      <c r="V30" s="2"/>
      <c r="W30" s="2"/>
      <c r="X30" s="2"/>
      <c r="Y30" s="2"/>
      <c r="Z30" s="2"/>
    </row>
    <row r="31" spans="1:26" ht="12.75" customHeight="1" x14ac:dyDescent="0.25">
      <c r="A31" s="2" t="s">
        <v>48</v>
      </c>
      <c r="B31" s="26">
        <v>6.3204307556152344</v>
      </c>
      <c r="C31" s="19">
        <v>3.1094770431518555</v>
      </c>
      <c r="D31" s="19">
        <v>3.220588207244873</v>
      </c>
      <c r="E31" s="21">
        <v>0.18095238506793976</v>
      </c>
      <c r="F31" s="21">
        <v>0.66666668653488159</v>
      </c>
      <c r="G31" s="22">
        <v>3</v>
      </c>
      <c r="H31" s="21">
        <v>0.62000000476837158</v>
      </c>
      <c r="I31" s="21">
        <v>0.68000000715255737</v>
      </c>
      <c r="J31" s="21">
        <v>0.72000002861022949</v>
      </c>
      <c r="K31" s="21">
        <v>0.69999998807907104</v>
      </c>
      <c r="L31" s="21">
        <v>0.31067961454391479</v>
      </c>
      <c r="M31" s="21">
        <v>0.46601942181587219</v>
      </c>
      <c r="N31" s="21">
        <v>0.39215686917304993</v>
      </c>
      <c r="O31" s="21">
        <v>0.78217822313308716</v>
      </c>
      <c r="P31" s="21">
        <v>0.45918366312980652</v>
      </c>
      <c r="Q31" s="21">
        <v>0.44999998807907104</v>
      </c>
      <c r="R31" s="19">
        <v>45.214405059814453</v>
      </c>
      <c r="S31" s="21">
        <v>0.46601942181587219</v>
      </c>
      <c r="T31" s="2" t="s">
        <v>18</v>
      </c>
      <c r="U31" s="2"/>
      <c r="V31" s="2"/>
      <c r="W31" s="2"/>
      <c r="X31" s="2"/>
      <c r="Y31" s="2"/>
      <c r="Z31" s="2"/>
    </row>
    <row r="32" spans="1:26" ht="12.75" customHeight="1" x14ac:dyDescent="0.25">
      <c r="A32" s="2" t="s">
        <v>49</v>
      </c>
      <c r="B32" s="26">
        <v>6.2648859024047852</v>
      </c>
      <c r="C32" s="19">
        <v>3.4729468822479248</v>
      </c>
      <c r="D32" s="19">
        <v>3.3995099067687988</v>
      </c>
      <c r="E32" s="21">
        <v>0.19858156144618988</v>
      </c>
      <c r="F32" s="21">
        <v>0.4444444477558136</v>
      </c>
      <c r="G32" s="22">
        <v>5</v>
      </c>
      <c r="H32" s="21">
        <v>0.69811320304870605</v>
      </c>
      <c r="I32" s="21">
        <v>0.83018869161605835</v>
      </c>
      <c r="J32" s="21">
        <v>0.73584908246994019</v>
      </c>
      <c r="K32" s="21">
        <v>0.81132078170776367</v>
      </c>
      <c r="L32" s="21">
        <v>0.12857143580913544</v>
      </c>
      <c r="M32" s="21">
        <v>0.47761192917823792</v>
      </c>
      <c r="N32" s="21">
        <v>0.31818181276321411</v>
      </c>
      <c r="O32" s="21">
        <v>0.78102189302444458</v>
      </c>
      <c r="P32" s="21">
        <v>0.39097744226455688</v>
      </c>
      <c r="Q32" s="21">
        <v>0.36764705181121826</v>
      </c>
      <c r="R32" s="19">
        <v>42.900638580322266</v>
      </c>
      <c r="S32" s="21">
        <v>0.37588652968406677</v>
      </c>
      <c r="T32" s="2" t="s">
        <v>21</v>
      </c>
      <c r="U32" s="2"/>
      <c r="V32" s="2"/>
      <c r="W32" s="2"/>
      <c r="X32" s="2"/>
      <c r="Y32" s="2"/>
      <c r="Z32" s="2"/>
    </row>
    <row r="33" spans="1:26" ht="12.75" customHeight="1" x14ac:dyDescent="0.25">
      <c r="A33" s="2" t="s">
        <v>50</v>
      </c>
      <c r="B33" s="26">
        <v>6.7771511077880859</v>
      </c>
      <c r="C33" s="19">
        <v>2.9444444179534912</v>
      </c>
      <c r="D33" s="19">
        <v>3.0015873908996582</v>
      </c>
      <c r="E33" s="21">
        <v>0.13846154510974884</v>
      </c>
      <c r="F33" s="21">
        <v>0.48275861144065857</v>
      </c>
      <c r="G33" s="22">
        <v>5</v>
      </c>
      <c r="H33" s="21">
        <v>0.55405408143997192</v>
      </c>
      <c r="I33" s="21">
        <v>0.74324321746826172</v>
      </c>
      <c r="J33" s="21">
        <v>0.662162184715271</v>
      </c>
      <c r="K33" s="21">
        <v>0.72972971200942993</v>
      </c>
      <c r="L33" s="21">
        <v>0.29133859276771545</v>
      </c>
      <c r="M33" s="21">
        <v>0.58870965242385864</v>
      </c>
      <c r="N33" s="21">
        <v>0.44354838132858276</v>
      </c>
      <c r="O33" s="21">
        <v>0.7839999794960022</v>
      </c>
      <c r="P33" s="21">
        <v>0.50413221120834351</v>
      </c>
      <c r="Q33" s="21">
        <v>0.38842976093292236</v>
      </c>
      <c r="R33" s="19">
        <v>57.653968811035156</v>
      </c>
      <c r="S33" s="21">
        <v>0.5625</v>
      </c>
      <c r="T33" s="2" t="s">
        <v>26</v>
      </c>
      <c r="U33" s="2"/>
      <c r="V33" s="2"/>
      <c r="W33" s="2"/>
      <c r="X33" s="2"/>
      <c r="Y33" s="2"/>
      <c r="Z33" s="2"/>
    </row>
    <row r="34" spans="1:26" ht="12.75" customHeight="1" x14ac:dyDescent="0.25">
      <c r="A34" s="2" t="s">
        <v>51</v>
      </c>
      <c r="B34" s="26">
        <v>4.8037805557250977</v>
      </c>
      <c r="C34" s="19">
        <v>3.0266106128692627</v>
      </c>
      <c r="D34" s="19">
        <v>3.0892655849456787</v>
      </c>
      <c r="E34" s="21">
        <v>4.1666667908430099E-2</v>
      </c>
      <c r="F34" s="21">
        <v>0.23529411852359772</v>
      </c>
      <c r="G34" s="22">
        <v>8</v>
      </c>
      <c r="H34" s="21">
        <v>0.27272728085517883</v>
      </c>
      <c r="I34" s="21">
        <v>0.36363637447357178</v>
      </c>
      <c r="J34" s="21">
        <v>0.31818181276321411</v>
      </c>
      <c r="K34" s="21">
        <v>0.34090909361839294</v>
      </c>
      <c r="L34" s="21">
        <v>0.23232322931289673</v>
      </c>
      <c r="M34" s="21">
        <v>0.58333331346511841</v>
      </c>
      <c r="N34" s="21">
        <v>0.52100843191146851</v>
      </c>
      <c r="O34" s="21">
        <v>0.76666665077209473</v>
      </c>
      <c r="P34" s="21">
        <v>0.36134454607963562</v>
      </c>
      <c r="Q34" s="21">
        <v>0.29411765933036804</v>
      </c>
      <c r="R34" s="19">
        <v>46.959556579589844</v>
      </c>
      <c r="S34" s="21">
        <v>0.36666667461395264</v>
      </c>
      <c r="T34" s="2" t="s">
        <v>15</v>
      </c>
      <c r="U34" s="2"/>
      <c r="V34" s="2"/>
      <c r="W34" s="2"/>
      <c r="X34" s="2"/>
      <c r="Y34" s="2"/>
      <c r="Z34" s="2"/>
    </row>
    <row r="35" spans="1:26" ht="12.75" customHeight="1" x14ac:dyDescent="0.25">
      <c r="A35" s="2" t="s">
        <v>52</v>
      </c>
      <c r="B35" s="26">
        <v>6.4586772918701172</v>
      </c>
      <c r="C35" s="19">
        <v>3.0316667556762695</v>
      </c>
      <c r="D35" s="19">
        <v>3.2204620838165283</v>
      </c>
      <c r="E35" s="21">
        <v>0.20792078971862793</v>
      </c>
      <c r="F35" s="21">
        <v>0.94117647409439087</v>
      </c>
      <c r="G35" s="22">
        <v>5</v>
      </c>
      <c r="H35" s="21">
        <v>0.57446807622909546</v>
      </c>
      <c r="I35" s="21">
        <v>0.80851066112518311</v>
      </c>
      <c r="J35" s="21">
        <v>0.57446807622909546</v>
      </c>
      <c r="K35" s="21">
        <v>0.63829785585403442</v>
      </c>
      <c r="L35" s="21">
        <v>0.34999999403953552</v>
      </c>
      <c r="M35" s="21">
        <v>0.55102038383483887</v>
      </c>
      <c r="N35" s="21">
        <v>0.41237112879753113</v>
      </c>
      <c r="O35" s="21">
        <v>0.6336633563041687</v>
      </c>
      <c r="P35" s="21">
        <v>0.5151515007019043</v>
      </c>
      <c r="Q35" s="21">
        <v>0.52999997138977051</v>
      </c>
      <c r="R35" s="19">
        <v>50.598758697509766</v>
      </c>
      <c r="S35" s="21">
        <v>0.46534654498100281</v>
      </c>
      <c r="T35" s="2" t="s">
        <v>35</v>
      </c>
      <c r="U35" s="2"/>
      <c r="V35" s="2"/>
      <c r="W35" s="2"/>
      <c r="X35" s="2"/>
      <c r="Y35" s="2"/>
      <c r="Z35" s="2"/>
    </row>
    <row r="36" spans="1:26" ht="12.75" customHeight="1" x14ac:dyDescent="0.25">
      <c r="A36" s="2" t="s">
        <v>53</v>
      </c>
      <c r="B36" s="26">
        <v>6.8992881774902344</v>
      </c>
      <c r="C36" s="19">
        <v>3.2009804248809814</v>
      </c>
      <c r="D36" s="19">
        <v>3.3543689250946045</v>
      </c>
      <c r="E36" s="21">
        <v>0.33018869161605835</v>
      </c>
      <c r="F36" s="21">
        <v>0.83333331346511841</v>
      </c>
      <c r="G36" s="22">
        <v>5.5</v>
      </c>
      <c r="H36" s="21">
        <v>0.69090908765792847</v>
      </c>
      <c r="I36" s="21">
        <v>0.8545454740524292</v>
      </c>
      <c r="J36" s="21">
        <v>0.76363635063171387</v>
      </c>
      <c r="K36" s="21">
        <v>0.76363635063171387</v>
      </c>
      <c r="L36" s="21">
        <v>0.35238096117973328</v>
      </c>
      <c r="M36" s="21">
        <v>0.58415842056274414</v>
      </c>
      <c r="N36" s="21">
        <v>0.46464645862579346</v>
      </c>
      <c r="O36" s="21">
        <v>0.69230771064758301</v>
      </c>
      <c r="P36" s="21">
        <v>0.34951457381248474</v>
      </c>
      <c r="Q36" s="21">
        <v>0.33980581164360046</v>
      </c>
      <c r="R36" s="19">
        <v>53.206169128417969</v>
      </c>
      <c r="S36" s="21">
        <v>0.51886790990829468</v>
      </c>
      <c r="T36" s="2" t="s">
        <v>18</v>
      </c>
      <c r="U36" s="2"/>
      <c r="V36" s="2"/>
      <c r="W36" s="2"/>
      <c r="X36" s="2"/>
      <c r="Y36" s="2"/>
      <c r="Z36" s="2"/>
    </row>
    <row r="37" spans="1:26" ht="12.75" customHeight="1" x14ac:dyDescent="0.25">
      <c r="A37" s="2" t="s">
        <v>56</v>
      </c>
      <c r="B37" s="26">
        <v>6.1878385543823242</v>
      </c>
      <c r="C37" s="19">
        <v>3.2581019401550293</v>
      </c>
      <c r="D37" s="19">
        <v>3.3543124198913574</v>
      </c>
      <c r="E37" s="21">
        <v>0.10273972898721695</v>
      </c>
      <c r="F37" s="21">
        <v>0.29032257199287415</v>
      </c>
      <c r="G37" s="22">
        <v>2</v>
      </c>
      <c r="H37" s="21">
        <v>0.51999998092651367</v>
      </c>
      <c r="I37" s="21">
        <v>0.70666664838790894</v>
      </c>
      <c r="J37" s="21">
        <v>0.57333332300186157</v>
      </c>
      <c r="K37" s="21">
        <v>0.68000000715255737</v>
      </c>
      <c r="L37" s="21">
        <v>0.24626865983009338</v>
      </c>
      <c r="M37" s="21">
        <v>0.35862070322036743</v>
      </c>
      <c r="N37" s="21">
        <v>0.32413792610168457</v>
      </c>
      <c r="O37" s="21">
        <v>0.70422536134719849</v>
      </c>
      <c r="P37" s="21">
        <v>0.36879432201385498</v>
      </c>
      <c r="Q37" s="21">
        <v>0.34507042169570923</v>
      </c>
      <c r="R37" s="19">
        <v>44.718368530273438</v>
      </c>
      <c r="S37" s="21">
        <v>0.51034480333328247</v>
      </c>
      <c r="T37" s="2" t="s">
        <v>35</v>
      </c>
      <c r="U37" s="2"/>
      <c r="V37" s="2"/>
      <c r="W37" s="2"/>
      <c r="X37" s="2"/>
      <c r="Y37" s="2"/>
      <c r="Z37" s="2"/>
    </row>
    <row r="38" spans="1:26" ht="12.75" customHeight="1" x14ac:dyDescent="0.25">
      <c r="A38" s="2" t="s">
        <v>54</v>
      </c>
      <c r="B38" s="26">
        <v>7.2409958839416504</v>
      </c>
      <c r="C38" s="19">
        <v>2.8552420139312744</v>
      </c>
      <c r="D38" s="19">
        <v>3.1365592479705811</v>
      </c>
      <c r="E38" s="21">
        <v>0.28571429848670959</v>
      </c>
      <c r="F38" s="21">
        <v>0.94444441795349121</v>
      </c>
      <c r="G38" s="22">
        <v>4</v>
      </c>
      <c r="H38" s="21">
        <v>0.57317072153091431</v>
      </c>
      <c r="I38" s="21">
        <v>0.792682945728302</v>
      </c>
      <c r="J38" s="21">
        <v>0.62195122241973877</v>
      </c>
      <c r="K38" s="21">
        <v>0.74390244483947754</v>
      </c>
      <c r="L38" s="21">
        <v>0.33082705736160278</v>
      </c>
      <c r="M38" s="21">
        <v>0.42519685626029968</v>
      </c>
      <c r="N38" s="21">
        <v>0.2578125</v>
      </c>
      <c r="O38" s="21">
        <v>0.6904761791229248</v>
      </c>
      <c r="P38" s="21">
        <v>0.37398374080657959</v>
      </c>
      <c r="Q38" s="21">
        <v>0.41129031777381897</v>
      </c>
      <c r="R38" s="19">
        <v>56.382858276367188</v>
      </c>
      <c r="S38" s="21">
        <v>0.61654132604598999</v>
      </c>
      <c r="T38" s="2" t="s">
        <v>18</v>
      </c>
      <c r="U38" s="2"/>
      <c r="V38" s="2"/>
      <c r="W38" s="2"/>
      <c r="X38" s="2"/>
      <c r="Y38" s="2"/>
      <c r="Z38" s="2"/>
    </row>
    <row r="39" spans="1:26" ht="12.75" customHeight="1" x14ac:dyDescent="0.25">
      <c r="A39" s="2" t="s">
        <v>55</v>
      </c>
      <c r="B39" s="26">
        <v>7.0536437034606934</v>
      </c>
      <c r="C39" s="19">
        <v>3.1414141654968262</v>
      </c>
      <c r="D39" s="19">
        <v>3.1582491397857666</v>
      </c>
      <c r="E39" s="21">
        <v>0.32380953431129456</v>
      </c>
      <c r="F39" s="21">
        <v>0.55000001192092896</v>
      </c>
      <c r="G39" s="22">
        <v>5</v>
      </c>
      <c r="H39" s="21">
        <v>0.67123287916183472</v>
      </c>
      <c r="I39" s="21">
        <v>0.73972600698471069</v>
      </c>
      <c r="J39" s="21">
        <v>0.57534247636795044</v>
      </c>
      <c r="K39" s="21">
        <v>0.63013696670532227</v>
      </c>
      <c r="L39" s="21">
        <v>0.46464645862579346</v>
      </c>
      <c r="M39" s="21">
        <v>0.62376236915588379</v>
      </c>
      <c r="N39" s="21">
        <v>0.44999998807907104</v>
      </c>
      <c r="O39" s="21">
        <v>0.78125</v>
      </c>
      <c r="P39" s="21">
        <v>0.3854166567325592</v>
      </c>
      <c r="Q39" s="21">
        <v>0.37113401293754578</v>
      </c>
      <c r="R39" s="19">
        <v>57.098335266113281</v>
      </c>
      <c r="S39" s="21">
        <v>0.69230771064758301</v>
      </c>
      <c r="T39" s="2" t="s">
        <v>18</v>
      </c>
      <c r="U39" s="2"/>
      <c r="V39" s="2"/>
      <c r="W39" s="2"/>
      <c r="X39" s="2"/>
      <c r="Y39" s="2"/>
      <c r="Z39" s="2"/>
    </row>
    <row r="40" spans="1:26" ht="12.75" customHeight="1" x14ac:dyDescent="0.25">
      <c r="A40" s="2" t="s">
        <v>57</v>
      </c>
      <c r="B40" s="26">
        <v>6.6282467842102051</v>
      </c>
      <c r="C40" s="19">
        <v>3.1868853569030762</v>
      </c>
      <c r="D40" s="19">
        <v>3.3163933753967285</v>
      </c>
      <c r="E40" s="21">
        <v>0.36220473051071167</v>
      </c>
      <c r="F40" s="21">
        <v>0.58333331346511841</v>
      </c>
      <c r="G40" s="22">
        <v>5</v>
      </c>
      <c r="H40" s="21">
        <v>0.4038461446762085</v>
      </c>
      <c r="I40" s="21">
        <v>0.9038461446762085</v>
      </c>
      <c r="J40" s="21">
        <v>0.46153846383094788</v>
      </c>
      <c r="K40" s="21">
        <v>0.73076921701431274</v>
      </c>
      <c r="L40" s="21">
        <v>0.23199999332427979</v>
      </c>
      <c r="M40" s="21">
        <v>0.45967742800712585</v>
      </c>
      <c r="N40" s="21">
        <v>0.35772356390953064</v>
      </c>
      <c r="O40" s="21">
        <v>0.74576270580291748</v>
      </c>
      <c r="P40" s="21">
        <v>0.35537189245223999</v>
      </c>
      <c r="Q40" s="21">
        <v>0.43801653385162354</v>
      </c>
      <c r="R40" s="19">
        <v>56.805191040039063</v>
      </c>
      <c r="S40" s="21">
        <v>0.4047619104385376</v>
      </c>
      <c r="T40" s="2" t="s">
        <v>15</v>
      </c>
      <c r="U40" s="2"/>
      <c r="V40" s="2"/>
      <c r="W40" s="2"/>
      <c r="X40" s="2"/>
      <c r="Y40" s="2"/>
      <c r="Z40" s="2"/>
    </row>
    <row r="41" spans="1:26" ht="12.75" customHeight="1" x14ac:dyDescent="0.25">
      <c r="A41" s="2" t="s">
        <v>58</v>
      </c>
      <c r="B41" s="26">
        <v>6.4647760391235352</v>
      </c>
      <c r="C41" s="19">
        <v>3.0787036418914795</v>
      </c>
      <c r="D41" s="19">
        <v>3.196296215057373</v>
      </c>
      <c r="E41" s="21">
        <v>0.10273972898721695</v>
      </c>
      <c r="F41" s="21">
        <v>0.58333331346511841</v>
      </c>
      <c r="G41" s="22">
        <v>6</v>
      </c>
      <c r="H41" s="21">
        <v>0.6716417670249939</v>
      </c>
      <c r="I41" s="21">
        <v>0.76119405031204224</v>
      </c>
      <c r="J41" s="21">
        <v>0.6268656849861145</v>
      </c>
      <c r="K41" s="21">
        <v>0.6716417670249939</v>
      </c>
      <c r="L41" s="21">
        <v>0.26241135597229004</v>
      </c>
      <c r="M41" s="21">
        <v>0.3819444477558136</v>
      </c>
      <c r="N41" s="21">
        <v>0.30769231915473938</v>
      </c>
      <c r="O41" s="21">
        <v>0.69444441795349121</v>
      </c>
      <c r="P41" s="21">
        <v>0.32867133617401123</v>
      </c>
      <c r="Q41" s="21">
        <v>0.3263888955116272</v>
      </c>
      <c r="R41" s="19">
        <v>52.135124206542969</v>
      </c>
      <c r="S41" s="21">
        <v>0.45890411734580994</v>
      </c>
      <c r="T41" s="2" t="s">
        <v>21</v>
      </c>
      <c r="U41" s="2"/>
      <c r="V41" s="2"/>
      <c r="W41" s="2"/>
      <c r="X41" s="2"/>
      <c r="Y41" s="2"/>
      <c r="Z41" s="2"/>
    </row>
    <row r="42" spans="1:26" ht="12.75" customHeight="1" x14ac:dyDescent="0.25">
      <c r="A42" s="2" t="s">
        <v>59</v>
      </c>
      <c r="B42" s="26">
        <v>5.923283576965332</v>
      </c>
      <c r="C42" s="19">
        <v>3.1114218235015869</v>
      </c>
      <c r="D42" s="19">
        <v>3.2337994575500488</v>
      </c>
      <c r="E42" s="21">
        <v>0.17880794405937195</v>
      </c>
      <c r="F42" s="21">
        <v>0.6538461446762085</v>
      </c>
      <c r="G42" s="22">
        <v>4</v>
      </c>
      <c r="H42" s="21">
        <v>0.43396225571632385</v>
      </c>
      <c r="I42" s="21">
        <v>0.5283018946647644</v>
      </c>
      <c r="J42" s="21">
        <v>0.35849055647850037</v>
      </c>
      <c r="K42" s="21">
        <v>0.41509434580802917</v>
      </c>
      <c r="L42" s="21">
        <v>0.30821916460990906</v>
      </c>
      <c r="M42" s="21">
        <v>0.48979592323303223</v>
      </c>
      <c r="N42" s="21">
        <v>0.44520547986030579</v>
      </c>
      <c r="O42" s="21">
        <v>0.6690140962600708</v>
      </c>
      <c r="P42" s="21">
        <v>0.58156025409698486</v>
      </c>
      <c r="Q42" s="21">
        <v>0.56737589836120605</v>
      </c>
      <c r="R42" s="19">
        <v>55.651496887207031</v>
      </c>
      <c r="S42" s="21">
        <v>0.33783784508705139</v>
      </c>
      <c r="T42" s="2" t="s">
        <v>26</v>
      </c>
      <c r="U42" s="2"/>
      <c r="V42" s="2"/>
      <c r="W42" s="2"/>
      <c r="X42" s="2"/>
      <c r="Y42" s="2"/>
      <c r="Z42" s="2"/>
    </row>
    <row r="43" spans="1:26" ht="12.75" customHeight="1" x14ac:dyDescent="0.25">
      <c r="A43" s="2" t="s">
        <v>60</v>
      </c>
      <c r="B43" s="26">
        <v>6.6628527641296387</v>
      </c>
      <c r="C43" s="19">
        <v>3.153968334197998</v>
      </c>
      <c r="D43" s="19">
        <v>3.265866756439209</v>
      </c>
      <c r="E43" s="21">
        <v>0.21374045312404633</v>
      </c>
      <c r="F43" s="21">
        <v>0.72727274894714355</v>
      </c>
      <c r="G43" s="22">
        <v>5</v>
      </c>
      <c r="H43" s="21">
        <v>0.62162160873413086</v>
      </c>
      <c r="I43" s="21">
        <v>0.72972971200942993</v>
      </c>
      <c r="J43" s="21">
        <v>0.54054051637649536</v>
      </c>
      <c r="K43" s="21">
        <v>0.62162160873413086</v>
      </c>
      <c r="L43" s="21">
        <v>0.14960630238056183</v>
      </c>
      <c r="M43" s="21">
        <v>0.33846154808998108</v>
      </c>
      <c r="N43" s="21">
        <v>0.27906978130340576</v>
      </c>
      <c r="O43" s="21">
        <v>0.76984125375747681</v>
      </c>
      <c r="P43" s="21">
        <v>0.42741936445236206</v>
      </c>
      <c r="Q43" s="21">
        <v>0.4126984179019928</v>
      </c>
      <c r="R43" s="19">
        <v>60.320171356201172</v>
      </c>
      <c r="S43" s="21">
        <v>0.28244274854660034</v>
      </c>
      <c r="T43" s="2" t="s">
        <v>21</v>
      </c>
      <c r="U43" s="2"/>
      <c r="V43" s="2"/>
      <c r="W43" s="2"/>
      <c r="X43" s="2"/>
      <c r="Y43" s="2"/>
      <c r="Z43" s="2"/>
    </row>
    <row r="44" spans="1:26" ht="12.75" customHeight="1" x14ac:dyDescent="0.25">
      <c r="A44" s="2" t="s">
        <v>61</v>
      </c>
      <c r="B44" s="26">
        <v>6.8391027450561523</v>
      </c>
      <c r="C44" s="19">
        <v>3.3539822101593018</v>
      </c>
      <c r="D44" s="19">
        <v>3.5707964897155762</v>
      </c>
      <c r="E44" s="21">
        <v>0.10619468986988068</v>
      </c>
      <c r="F44" s="21">
        <v>0.48717948794364929</v>
      </c>
      <c r="G44" s="22">
        <v>5</v>
      </c>
      <c r="H44" s="21">
        <v>0.37662336230278015</v>
      </c>
      <c r="I44" s="21">
        <v>0.58441555500030518</v>
      </c>
      <c r="J44" s="21">
        <v>0.54545456171035767</v>
      </c>
      <c r="K44" s="21">
        <v>0.48051947355270386</v>
      </c>
      <c r="L44" s="21">
        <v>0.5157894492149353</v>
      </c>
      <c r="M44" s="21">
        <v>0.4285714328289032</v>
      </c>
      <c r="N44" s="21">
        <v>0.34234234690666199</v>
      </c>
      <c r="O44" s="21">
        <v>0.73873871564865112</v>
      </c>
      <c r="P44" s="21">
        <v>0.35454544425010681</v>
      </c>
      <c r="Q44" s="21">
        <v>0.54545456171035767</v>
      </c>
      <c r="R44" s="19">
        <v>56.513324737548828</v>
      </c>
      <c r="S44" s="21">
        <v>0.68141591548919678</v>
      </c>
      <c r="T44" s="2" t="s">
        <v>26</v>
      </c>
      <c r="U44" s="2"/>
      <c r="V44" s="2"/>
      <c r="W44" s="2"/>
      <c r="X44" s="2"/>
      <c r="Y44" s="2"/>
      <c r="Z44" s="2"/>
    </row>
    <row r="45" spans="1:26" ht="12.75" customHeight="1" x14ac:dyDescent="0.25">
      <c r="A45" s="2" t="s">
        <v>62</v>
      </c>
      <c r="B45" s="26">
        <v>5.9614968299865723</v>
      </c>
      <c r="C45" s="19">
        <v>3.3104937076568604</v>
      </c>
      <c r="D45" s="19">
        <v>3.3888888359069824</v>
      </c>
      <c r="E45" s="21">
        <v>0.24647887051105499</v>
      </c>
      <c r="F45" s="21">
        <v>0.5</v>
      </c>
      <c r="G45" s="22">
        <v>8</v>
      </c>
      <c r="H45" s="21">
        <v>0.66666668653488159</v>
      </c>
      <c r="I45" s="21">
        <v>0.84848487377166748</v>
      </c>
      <c r="J45" s="21">
        <v>0.69696968793869019</v>
      </c>
      <c r="K45" s="21">
        <v>0.75757575035095215</v>
      </c>
      <c r="L45" s="21">
        <v>0.21481481194496155</v>
      </c>
      <c r="M45" s="21">
        <v>0.42335766553878784</v>
      </c>
      <c r="N45" s="21">
        <v>0.33088234066963196</v>
      </c>
      <c r="O45" s="21">
        <v>0.72180449962615967</v>
      </c>
      <c r="P45" s="21">
        <v>0.48888888955116272</v>
      </c>
      <c r="Q45" s="21">
        <v>0.46666666865348816</v>
      </c>
      <c r="R45" s="19">
        <v>34.822238922119141</v>
      </c>
      <c r="S45" s="21">
        <v>0.46099290251731873</v>
      </c>
      <c r="T45" s="2" t="s">
        <v>18</v>
      </c>
      <c r="U45" s="2"/>
      <c r="V45" s="2"/>
      <c r="W45" s="2"/>
      <c r="X45" s="2"/>
      <c r="Y45" s="2"/>
      <c r="Z45" s="2"/>
    </row>
    <row r="46" spans="1:26" ht="12.75" customHeight="1" x14ac:dyDescent="0.25">
      <c r="A46" s="2" t="s">
        <v>63</v>
      </c>
      <c r="B46" s="26">
        <v>6.2528362274169922</v>
      </c>
      <c r="C46" s="19">
        <v>3.0137820243835449</v>
      </c>
      <c r="D46" s="19">
        <v>3.1440129280090332</v>
      </c>
      <c r="E46" s="21">
        <v>0.18691588938236237</v>
      </c>
      <c r="F46" s="21">
        <v>0.77777779102325439</v>
      </c>
      <c r="G46" s="22">
        <v>3</v>
      </c>
      <c r="H46" s="21">
        <v>0.68000000715255737</v>
      </c>
      <c r="I46" s="21">
        <v>0.77999997138977051</v>
      </c>
      <c r="J46" s="21">
        <v>0.56000000238418579</v>
      </c>
      <c r="K46" s="21">
        <v>0.62000000476837158</v>
      </c>
      <c r="L46" s="21">
        <v>0.31730768084526062</v>
      </c>
      <c r="M46" s="21">
        <v>0.58095240592956543</v>
      </c>
      <c r="N46" s="21">
        <v>0.5</v>
      </c>
      <c r="O46" s="21">
        <v>0.69902914762496948</v>
      </c>
      <c r="P46" s="21">
        <v>0.41346153616905212</v>
      </c>
      <c r="Q46" s="21">
        <v>0.39805826544761658</v>
      </c>
      <c r="R46" s="19">
        <v>48.717506408691406</v>
      </c>
      <c r="S46" s="21">
        <v>0.46226415038108826</v>
      </c>
      <c r="T46" s="2" t="s">
        <v>26</v>
      </c>
      <c r="U46" s="2"/>
      <c r="V46" s="2"/>
      <c r="W46" s="2"/>
      <c r="X46" s="2"/>
      <c r="Y46" s="2"/>
      <c r="Z46" s="2"/>
    </row>
    <row r="47" spans="1:26" ht="12.75" customHeight="1" x14ac:dyDescent="0.25">
      <c r="A47" s="2" t="s">
        <v>64</v>
      </c>
      <c r="B47" s="26">
        <v>6.5870146751403809</v>
      </c>
      <c r="C47" s="19">
        <v>3.1737420558929443</v>
      </c>
      <c r="D47" s="19">
        <v>3.235220193862915</v>
      </c>
      <c r="E47" s="21">
        <v>0.1607142835855484</v>
      </c>
      <c r="F47" s="21">
        <v>0.69999998807907104</v>
      </c>
      <c r="G47" s="22">
        <v>5</v>
      </c>
      <c r="H47" s="21">
        <v>0.4883720874786377</v>
      </c>
      <c r="I47" s="21">
        <v>0.74418604373931885</v>
      </c>
      <c r="J47" s="21">
        <v>0.53488373756408691</v>
      </c>
      <c r="K47" s="21">
        <v>0.60465115308761597</v>
      </c>
      <c r="L47" s="21">
        <v>0.32710281014442444</v>
      </c>
      <c r="M47" s="21">
        <v>0.42056074738502502</v>
      </c>
      <c r="N47" s="21">
        <v>0.46728971600532532</v>
      </c>
      <c r="O47" s="21">
        <v>0.66981130838394165</v>
      </c>
      <c r="P47" s="21">
        <v>0.56481480598449707</v>
      </c>
      <c r="Q47" s="21">
        <v>0.47222220897674561</v>
      </c>
      <c r="R47" s="19">
        <v>61.275623321533203</v>
      </c>
      <c r="S47" s="21">
        <v>0.37272727489471436</v>
      </c>
      <c r="T47" s="2" t="s">
        <v>26</v>
      </c>
      <c r="U47" s="2"/>
      <c r="V47" s="2"/>
      <c r="W47" s="2"/>
      <c r="X47" s="2"/>
      <c r="Y47" s="2"/>
      <c r="Z47" s="2"/>
    </row>
    <row r="48" spans="1:26" ht="12.75" customHeight="1" x14ac:dyDescent="0.25">
      <c r="A48" s="2" t="s">
        <v>65</v>
      </c>
      <c r="B48" s="26">
        <v>6.4022312164306641</v>
      </c>
      <c r="C48" s="19">
        <v>2.9533798694610596</v>
      </c>
      <c r="D48" s="19">
        <v>3.1212120056152344</v>
      </c>
      <c r="E48" s="21">
        <v>0.190476194024086</v>
      </c>
      <c r="F48" s="21">
        <v>0.21739129722118378</v>
      </c>
      <c r="G48" s="22">
        <v>2</v>
      </c>
      <c r="H48" s="21">
        <v>0.48235294222831726</v>
      </c>
      <c r="I48" s="21">
        <v>0.74117648601531982</v>
      </c>
      <c r="J48" s="21">
        <v>0.64705884456634521</v>
      </c>
      <c r="K48" s="21">
        <v>0.70588237047195435</v>
      </c>
      <c r="L48" s="21">
        <v>0.35114502906799316</v>
      </c>
      <c r="M48" s="21">
        <v>0.40559440851211548</v>
      </c>
      <c r="N48" s="21">
        <v>0.34265735745429993</v>
      </c>
      <c r="O48" s="21">
        <v>0.78723406791687012</v>
      </c>
      <c r="P48" s="21">
        <v>0.3404255211353302</v>
      </c>
      <c r="Q48" s="21">
        <v>0.3404255211353302</v>
      </c>
      <c r="R48" s="19">
        <v>48.61968994140625</v>
      </c>
      <c r="S48" s="21">
        <v>0.57534247636795044</v>
      </c>
      <c r="T48" s="2" t="s">
        <v>26</v>
      </c>
      <c r="U48" s="2"/>
      <c r="V48" s="2"/>
      <c r="W48" s="2"/>
      <c r="X48" s="2"/>
      <c r="Y48" s="2"/>
      <c r="Z48" s="2"/>
    </row>
    <row r="49" spans="1:26" ht="12.75" customHeight="1" x14ac:dyDescent="0.25">
      <c r="A49" s="2" t="s">
        <v>66</v>
      </c>
      <c r="B49" s="26">
        <v>6.0373325347900391</v>
      </c>
      <c r="C49" s="19">
        <v>3.0185184478759766</v>
      </c>
      <c r="D49" s="19">
        <v>3.1737892627716064</v>
      </c>
      <c r="E49" s="21">
        <v>0.1735537201166153</v>
      </c>
      <c r="F49" s="21">
        <v>0.34782609343528748</v>
      </c>
      <c r="G49" s="22">
        <v>5</v>
      </c>
      <c r="H49" s="21">
        <v>0.4098360538482666</v>
      </c>
      <c r="I49" s="21">
        <v>0.55737704038619995</v>
      </c>
      <c r="J49" s="21">
        <v>0.45901638269424438</v>
      </c>
      <c r="K49" s="21">
        <v>0.63934427499771118</v>
      </c>
      <c r="L49" s="21">
        <v>0.25714287161827087</v>
      </c>
      <c r="M49" s="21">
        <v>0.29661017656326294</v>
      </c>
      <c r="N49" s="21">
        <v>0.27586206793785095</v>
      </c>
      <c r="O49" s="21">
        <v>0.73333334922790527</v>
      </c>
      <c r="P49" s="21">
        <v>0.40677964687347412</v>
      </c>
      <c r="Q49" s="21">
        <v>0.4237288236618042</v>
      </c>
      <c r="R49" s="19">
        <v>47.353855133056641</v>
      </c>
      <c r="S49" s="21">
        <v>0.5</v>
      </c>
      <c r="T49" s="2" t="s">
        <v>26</v>
      </c>
      <c r="U49" s="2"/>
      <c r="V49" s="2"/>
      <c r="W49" s="2"/>
      <c r="X49" s="2"/>
      <c r="Y49" s="2"/>
      <c r="Z49" s="2"/>
    </row>
    <row r="50" spans="1:26" ht="12.75" customHeight="1" x14ac:dyDescent="0.25">
      <c r="A50" s="2" t="s">
        <v>67</v>
      </c>
      <c r="B50" s="26">
        <v>6.948237419128418</v>
      </c>
      <c r="C50" s="19">
        <v>3.2426900863647461</v>
      </c>
      <c r="D50" s="19">
        <v>3.3703703880310059</v>
      </c>
      <c r="E50" s="21">
        <v>0.26857143640518188</v>
      </c>
      <c r="F50" s="21">
        <v>0.66666668653488159</v>
      </c>
      <c r="G50" s="22">
        <v>5</v>
      </c>
      <c r="H50" s="21">
        <v>0.5308641791343689</v>
      </c>
      <c r="I50" s="21">
        <v>0.85185188055038452</v>
      </c>
      <c r="J50" s="21">
        <v>0.69135802984237671</v>
      </c>
      <c r="K50" s="21">
        <v>0.77777779102325439</v>
      </c>
      <c r="L50" s="21">
        <v>0.31360948085784912</v>
      </c>
      <c r="M50" s="21">
        <v>0.40462428331375122</v>
      </c>
      <c r="N50" s="21">
        <v>0.31791907548904419</v>
      </c>
      <c r="O50" s="21">
        <v>0.79289942979812622</v>
      </c>
      <c r="P50" s="21">
        <v>0.29518070816993713</v>
      </c>
      <c r="Q50" s="21">
        <v>0.31137725710868835</v>
      </c>
      <c r="R50" s="19">
        <v>57.028434753417969</v>
      </c>
      <c r="S50" s="21">
        <v>0.45664739608764648</v>
      </c>
      <c r="T50" s="2" t="s">
        <v>21</v>
      </c>
      <c r="U50" s="2"/>
      <c r="V50" s="2"/>
      <c r="W50" s="2"/>
      <c r="X50" s="2"/>
      <c r="Y50" s="2"/>
      <c r="Z50" s="2"/>
    </row>
    <row r="51" spans="1:26" ht="12.75" customHeight="1" x14ac:dyDescent="0.25">
      <c r="A51" s="2" t="s">
        <v>68</v>
      </c>
      <c r="B51" s="26">
        <v>6.4237575531005859</v>
      </c>
      <c r="C51" s="19">
        <v>3.0142858028411865</v>
      </c>
      <c r="D51" s="19">
        <v>3.122539758682251</v>
      </c>
      <c r="E51" s="21">
        <v>0.14018692076206207</v>
      </c>
      <c r="F51" s="21">
        <v>0.60000002384185791</v>
      </c>
      <c r="G51" s="22">
        <v>2</v>
      </c>
      <c r="H51" s="21">
        <v>0.48648649454116821</v>
      </c>
      <c r="I51" s="21">
        <v>0.75675678253173828</v>
      </c>
      <c r="J51" s="21">
        <v>0.56756758689880371</v>
      </c>
      <c r="K51" s="21">
        <v>0.70270270109176636</v>
      </c>
      <c r="L51" s="21">
        <v>0.23076923191547394</v>
      </c>
      <c r="M51" s="21">
        <v>0.31730768084526062</v>
      </c>
      <c r="N51" s="21">
        <v>0.2788461446762085</v>
      </c>
      <c r="O51" s="21">
        <v>0.68571430444717407</v>
      </c>
      <c r="P51" s="21">
        <v>0.57142859697341919</v>
      </c>
      <c r="Q51" s="21">
        <v>0.55238097906112671</v>
      </c>
      <c r="R51" s="19">
        <v>53.391010284423828</v>
      </c>
      <c r="S51" s="21">
        <v>0.33962264657020569</v>
      </c>
      <c r="T51" s="2" t="s">
        <v>26</v>
      </c>
      <c r="U51" s="2"/>
      <c r="V51" s="2"/>
      <c r="W51" s="2"/>
      <c r="X51" s="2"/>
      <c r="Y51" s="2"/>
      <c r="Z51" s="2"/>
    </row>
    <row r="52" spans="1:26" ht="12.75" customHeight="1" x14ac:dyDescent="0.25">
      <c r="A52" s="2" t="s">
        <v>69</v>
      </c>
      <c r="B52" s="26">
        <v>6.4627084732055664</v>
      </c>
      <c r="C52" s="19">
        <v>3.0999999046325684</v>
      </c>
      <c r="D52" s="19">
        <v>3.194920539855957</v>
      </c>
      <c r="E52" s="21">
        <v>0.16037735342979431</v>
      </c>
      <c r="F52" s="21">
        <v>0.81818181276321411</v>
      </c>
      <c r="G52" s="22">
        <v>4</v>
      </c>
      <c r="H52" s="21">
        <v>0.56000000238418579</v>
      </c>
      <c r="I52" s="21">
        <v>0.68000000715255737</v>
      </c>
      <c r="J52" s="21">
        <v>0.60000002384185791</v>
      </c>
      <c r="K52" s="21">
        <v>0.63999998569488525</v>
      </c>
      <c r="L52" s="21">
        <v>0.380952388048172</v>
      </c>
      <c r="M52" s="21">
        <v>0.5288461446762085</v>
      </c>
      <c r="N52" s="21">
        <v>0.50485438108444214</v>
      </c>
      <c r="O52" s="21">
        <v>0.85436892509460449</v>
      </c>
      <c r="P52" s="21">
        <v>0.42718446254730225</v>
      </c>
      <c r="Q52" s="21">
        <v>0.3883495032787323</v>
      </c>
      <c r="R52" s="19">
        <v>53.102973937988281</v>
      </c>
      <c r="S52" s="21">
        <v>0.4716981053352356</v>
      </c>
      <c r="T52" s="2" t="s">
        <v>15</v>
      </c>
      <c r="U52" s="2"/>
      <c r="V52" s="2"/>
      <c r="W52" s="2"/>
      <c r="X52" s="2"/>
      <c r="Y52" s="2"/>
      <c r="Z52" s="2"/>
    </row>
    <row r="53" spans="1:26" ht="12.75" customHeight="1" x14ac:dyDescent="0.25">
      <c r="A53" s="2" t="s">
        <v>70</v>
      </c>
      <c r="B53" s="26">
        <v>7.193760871887207</v>
      </c>
      <c r="C53" s="19">
        <v>3.2138364315032959</v>
      </c>
      <c r="D53" s="19">
        <v>3.3504672050476074</v>
      </c>
      <c r="E53" s="21">
        <v>0.21100917458534241</v>
      </c>
      <c r="F53" s="21">
        <v>0.875</v>
      </c>
      <c r="G53" s="22">
        <v>5</v>
      </c>
      <c r="H53" s="21">
        <v>0.55555558204650879</v>
      </c>
      <c r="I53" s="21">
        <v>0.77777779102325439</v>
      </c>
      <c r="J53" s="21">
        <v>0.58730161190032959</v>
      </c>
      <c r="K53" s="21">
        <v>0.73015874624252319</v>
      </c>
      <c r="L53" s="21">
        <v>0.34579437971115112</v>
      </c>
      <c r="M53" s="21">
        <v>0.28846153616905212</v>
      </c>
      <c r="N53" s="21">
        <v>0.21153846383094788</v>
      </c>
      <c r="O53" s="21">
        <v>0.76923078298568726</v>
      </c>
      <c r="P53" s="21">
        <v>0.35922330617904663</v>
      </c>
      <c r="Q53" s="21">
        <v>0.31730768084526062</v>
      </c>
      <c r="R53" s="19">
        <v>55.633831024169922</v>
      </c>
      <c r="S53" s="21">
        <v>0.57407408952713013</v>
      </c>
      <c r="T53" s="2" t="s">
        <v>18</v>
      </c>
      <c r="U53" s="2"/>
      <c r="V53" s="2"/>
      <c r="W53" s="2"/>
      <c r="X53" s="2"/>
      <c r="Y53" s="2"/>
      <c r="Z53" s="2"/>
    </row>
    <row r="54" spans="1:26" ht="12.75" customHeight="1" x14ac:dyDescent="0.25">
      <c r="A54" s="2" t="s">
        <v>78</v>
      </c>
      <c r="B54" s="26">
        <v>6.434295654296875</v>
      </c>
      <c r="C54" s="19">
        <v>3.159604549407959</v>
      </c>
      <c r="D54" s="19">
        <v>3.2916667461395264</v>
      </c>
      <c r="E54" s="21">
        <v>0.27642276883125305</v>
      </c>
      <c r="F54" s="21">
        <v>0.625</v>
      </c>
      <c r="G54" s="22">
        <v>3</v>
      </c>
      <c r="H54" s="21">
        <v>0.53846156597137451</v>
      </c>
      <c r="I54" s="21">
        <v>0.75384616851806641</v>
      </c>
      <c r="J54" s="21">
        <v>0.50769233703613281</v>
      </c>
      <c r="K54" s="21">
        <v>0.67692309617996216</v>
      </c>
      <c r="L54" s="21">
        <v>0.38461539149284363</v>
      </c>
      <c r="M54" s="21">
        <v>0.44262295961380005</v>
      </c>
      <c r="N54" s="21">
        <v>0.39837399125099182</v>
      </c>
      <c r="O54" s="21">
        <v>0.70085471868515015</v>
      </c>
      <c r="P54" s="21">
        <v>0.45945945382118225</v>
      </c>
      <c r="Q54" s="21">
        <v>0.41071429848670959</v>
      </c>
      <c r="R54" s="19">
        <v>48.147773742675781</v>
      </c>
      <c r="S54" s="21">
        <v>0.52845525741577148</v>
      </c>
      <c r="T54" s="2" t="s">
        <v>26</v>
      </c>
      <c r="U54" s="2"/>
      <c r="V54" s="2"/>
      <c r="W54" s="2"/>
      <c r="X54" s="2"/>
      <c r="Y54" s="2"/>
      <c r="Z54" s="2"/>
    </row>
    <row r="55" spans="1:26" ht="12.75" customHeight="1" x14ac:dyDescent="0.25">
      <c r="A55" s="2" t="s">
        <v>71</v>
      </c>
      <c r="B55" s="26">
        <v>6.3870248794555664</v>
      </c>
      <c r="C55" s="19">
        <v>2.8037633895874023</v>
      </c>
      <c r="D55" s="19">
        <v>3.1599462032318115</v>
      </c>
      <c r="E55" s="21">
        <v>0.17322835326194763</v>
      </c>
      <c r="F55" s="21">
        <v>0.47368422150611877</v>
      </c>
      <c r="G55" s="22">
        <v>7</v>
      </c>
      <c r="H55" s="21">
        <v>0.41538462042808533</v>
      </c>
      <c r="I55" s="21">
        <v>0.58461540937423706</v>
      </c>
      <c r="J55" s="21">
        <v>0.38461539149284363</v>
      </c>
      <c r="K55" s="21">
        <v>0.50769233703613281</v>
      </c>
      <c r="L55" s="21">
        <v>0.36000001430511475</v>
      </c>
      <c r="M55" s="21">
        <v>0.37795275449752808</v>
      </c>
      <c r="N55" s="21">
        <v>0.19685038924217224</v>
      </c>
      <c r="O55" s="21">
        <v>0.66399997472763062</v>
      </c>
      <c r="P55" s="21">
        <v>0.36065572500228882</v>
      </c>
      <c r="Q55" s="21">
        <v>0.44262295961380005</v>
      </c>
      <c r="R55" s="19">
        <v>59.164608001708984</v>
      </c>
      <c r="S55" s="21">
        <v>0.5118110179901123</v>
      </c>
      <c r="T55" s="2" t="s">
        <v>24</v>
      </c>
      <c r="U55" s="2"/>
      <c r="V55" s="2"/>
      <c r="W55" s="2"/>
      <c r="X55" s="2"/>
      <c r="Y55" s="2"/>
      <c r="Z55" s="2"/>
    </row>
    <row r="56" spans="1:26" ht="12.75" customHeight="1" x14ac:dyDescent="0.25">
      <c r="A56" s="2" t="s">
        <v>72</v>
      </c>
      <c r="B56" s="26">
        <v>6.7372140884399414</v>
      </c>
      <c r="C56" s="19">
        <v>3.0685484409332275</v>
      </c>
      <c r="D56" s="19">
        <v>3.1196236610412598</v>
      </c>
      <c r="E56" s="21">
        <v>0.14960630238056183</v>
      </c>
      <c r="F56" s="21">
        <v>0.6428571343421936</v>
      </c>
      <c r="G56" s="22">
        <v>3</v>
      </c>
      <c r="H56" s="21">
        <v>0.52083331346511841</v>
      </c>
      <c r="I56" s="21">
        <v>0.75</v>
      </c>
      <c r="J56" s="21">
        <v>0.64583331346511841</v>
      </c>
      <c r="K56" s="21">
        <v>0.66666668653488159</v>
      </c>
      <c r="L56" s="21">
        <v>0.27419355511665344</v>
      </c>
      <c r="M56" s="21">
        <v>0.31451612710952759</v>
      </c>
      <c r="N56" s="21">
        <v>0.28225806355476379</v>
      </c>
      <c r="O56" s="21">
        <v>0.84677422046661377</v>
      </c>
      <c r="P56" s="21">
        <v>0.49180328845977783</v>
      </c>
      <c r="Q56" s="21">
        <v>0.47540983557701111</v>
      </c>
      <c r="R56" s="19">
        <v>57.417018890380859</v>
      </c>
      <c r="S56" s="21">
        <v>0.3730158805847168</v>
      </c>
      <c r="T56" s="2" t="s">
        <v>21</v>
      </c>
      <c r="U56" s="2"/>
      <c r="V56" s="2"/>
      <c r="W56" s="2"/>
      <c r="X56" s="2"/>
      <c r="Y56" s="2"/>
      <c r="Z56" s="2"/>
    </row>
    <row r="57" spans="1:26" ht="12.75" customHeight="1" x14ac:dyDescent="0.25">
      <c r="A57" s="2" t="s">
        <v>73</v>
      </c>
      <c r="B57" s="26">
        <v>6.289618968963623</v>
      </c>
      <c r="C57" s="19">
        <v>2.9295976161956787</v>
      </c>
      <c r="D57" s="19">
        <v>3.0898551940917969</v>
      </c>
      <c r="E57" s="21">
        <v>0.13709677755832672</v>
      </c>
      <c r="F57" s="21">
        <v>0.5</v>
      </c>
      <c r="G57" s="22">
        <v>6</v>
      </c>
      <c r="H57" s="21">
        <v>0.44067797064781189</v>
      </c>
      <c r="I57" s="21">
        <v>0.72881358861923218</v>
      </c>
      <c r="J57" s="21">
        <v>0.59322035312652588</v>
      </c>
      <c r="K57" s="21">
        <v>0.62711864709854126</v>
      </c>
      <c r="L57" s="21">
        <v>0.2689075767993927</v>
      </c>
      <c r="M57" s="21">
        <v>0.34426230192184448</v>
      </c>
      <c r="N57" s="21">
        <v>0.23770491778850555</v>
      </c>
      <c r="O57" s="21">
        <v>0.83050847053527832</v>
      </c>
      <c r="P57" s="21">
        <v>0.4821428656578064</v>
      </c>
      <c r="Q57" s="21">
        <v>0.43859648704528809</v>
      </c>
      <c r="R57" s="19">
        <v>49.319686889648438</v>
      </c>
      <c r="S57" s="21">
        <v>0.47154471278190613</v>
      </c>
      <c r="T57" s="2" t="s">
        <v>18</v>
      </c>
      <c r="U57" s="2"/>
      <c r="V57" s="2"/>
      <c r="W57" s="2"/>
      <c r="X57" s="2"/>
      <c r="Y57" s="2"/>
      <c r="Z57" s="2"/>
    </row>
    <row r="58" spans="1:26" ht="12.75" customHeight="1" x14ac:dyDescent="0.25">
      <c r="A58" s="2" t="s">
        <v>74</v>
      </c>
      <c r="B58" s="26">
        <v>6.8139467239379883</v>
      </c>
      <c r="C58" s="19">
        <v>3.0580713748931885</v>
      </c>
      <c r="D58" s="19">
        <v>3.1126582622528076</v>
      </c>
      <c r="E58" s="21">
        <v>6.8750001490116119E-2</v>
      </c>
      <c r="F58" s="21">
        <v>0.77777779102325439</v>
      </c>
      <c r="G58" s="22">
        <v>4</v>
      </c>
      <c r="H58" s="21">
        <v>0.46666666865348816</v>
      </c>
      <c r="I58" s="21">
        <v>0.73333334922790527</v>
      </c>
      <c r="J58" s="21">
        <v>0.66666668653488159</v>
      </c>
      <c r="K58" s="21">
        <v>0.77333331108093262</v>
      </c>
      <c r="L58" s="21">
        <v>0.18867924809455872</v>
      </c>
      <c r="M58" s="21">
        <v>0.28662419319152832</v>
      </c>
      <c r="N58" s="21">
        <v>0.22929936647415161</v>
      </c>
      <c r="O58" s="21">
        <v>0.81761008501052856</v>
      </c>
      <c r="P58" s="21">
        <v>0.61538463830947876</v>
      </c>
      <c r="Q58" s="21">
        <v>0.6538461446762085</v>
      </c>
      <c r="R58" s="19">
        <v>50.676300048828125</v>
      </c>
      <c r="S58" s="21">
        <v>0.4654088020324707</v>
      </c>
      <c r="T58" s="2" t="s">
        <v>26</v>
      </c>
      <c r="U58" s="2"/>
      <c r="V58" s="2"/>
      <c r="W58" s="2"/>
      <c r="X58" s="2"/>
      <c r="Y58" s="2"/>
      <c r="Z58" s="2"/>
    </row>
    <row r="59" spans="1:26" ht="12.75" customHeight="1" x14ac:dyDescent="0.25">
      <c r="A59" s="2" t="s">
        <v>75</v>
      </c>
      <c r="B59" s="26">
        <v>6.4638571739196777</v>
      </c>
      <c r="C59" s="19">
        <v>3.0462963581085205</v>
      </c>
      <c r="D59" s="19">
        <v>3.2645061016082764</v>
      </c>
      <c r="E59" s="21">
        <v>0.2053571492433548</v>
      </c>
      <c r="F59" s="21">
        <v>0.54166668653488159</v>
      </c>
      <c r="G59" s="22">
        <v>4</v>
      </c>
      <c r="H59" s="21">
        <v>0.4761904776096344</v>
      </c>
      <c r="I59" s="21">
        <v>0.65079367160797119</v>
      </c>
      <c r="J59" s="21">
        <v>0.57142859697341919</v>
      </c>
      <c r="K59" s="21">
        <v>0.57142859697341919</v>
      </c>
      <c r="L59" s="21">
        <v>0.40000000596046448</v>
      </c>
      <c r="M59" s="21">
        <v>0.44144144654273987</v>
      </c>
      <c r="N59" s="21">
        <v>0.25688073039054871</v>
      </c>
      <c r="O59" s="21">
        <v>0.55769228935241699</v>
      </c>
      <c r="P59" s="21">
        <v>0.31428572535514832</v>
      </c>
      <c r="Q59" s="21">
        <v>0.31132075190544128</v>
      </c>
      <c r="R59" s="19">
        <v>53.848155975341797</v>
      </c>
      <c r="S59" s="21">
        <v>0.55454546213150024</v>
      </c>
      <c r="T59" s="2" t="s">
        <v>15</v>
      </c>
      <c r="U59" s="2"/>
      <c r="V59" s="2"/>
      <c r="W59" s="2"/>
      <c r="X59" s="2"/>
      <c r="Y59" s="2"/>
      <c r="Z59" s="2"/>
    </row>
    <row r="60" spans="1:26" ht="12.75" customHeight="1" x14ac:dyDescent="0.25">
      <c r="A60" s="2" t="s">
        <v>77</v>
      </c>
      <c r="B60" s="26">
        <v>6.1746792793273926</v>
      </c>
      <c r="C60" s="19">
        <v>3.1134679317474365</v>
      </c>
      <c r="D60" s="19">
        <v>3.2531986236572266</v>
      </c>
      <c r="E60" s="21">
        <v>0.17475728690624237</v>
      </c>
      <c r="F60" s="21">
        <v>0.2380952388048172</v>
      </c>
      <c r="G60" s="22">
        <v>7</v>
      </c>
      <c r="H60" s="21">
        <v>0.40816327929496765</v>
      </c>
      <c r="I60" s="21">
        <v>0.59183675050735474</v>
      </c>
      <c r="J60" s="21">
        <v>0.51020407676696777</v>
      </c>
      <c r="K60" s="21">
        <v>0.57142859697341919</v>
      </c>
      <c r="L60" s="21">
        <v>0.26595744490623474</v>
      </c>
      <c r="M60" s="21">
        <v>0.44329896569252014</v>
      </c>
      <c r="N60" s="21">
        <v>0.38383838534355164</v>
      </c>
      <c r="O60" s="21">
        <v>0.7326732873916626</v>
      </c>
      <c r="P60" s="21">
        <v>0.51485151052474976</v>
      </c>
      <c r="Q60" s="21">
        <v>0.52475249767303467</v>
      </c>
      <c r="R60" s="19">
        <v>54.031822204589844</v>
      </c>
      <c r="S60" s="21">
        <v>0.47572815418243408</v>
      </c>
      <c r="T60" s="2" t="s">
        <v>15</v>
      </c>
      <c r="U60" s="2"/>
      <c r="V60" s="2"/>
      <c r="W60" s="2"/>
      <c r="X60" s="2"/>
      <c r="Y60" s="2"/>
      <c r="Z60" s="2"/>
    </row>
    <row r="61" spans="1:26" ht="12.75" customHeight="1" x14ac:dyDescent="0.25">
      <c r="A61" s="2" t="s">
        <v>79</v>
      </c>
      <c r="B61" s="26">
        <v>6.2984209060668945</v>
      </c>
      <c r="C61" s="19">
        <v>3.0515463352203369</v>
      </c>
      <c r="D61" s="19">
        <v>3.1914966106414795</v>
      </c>
      <c r="E61" s="21">
        <v>0.30769231915473938</v>
      </c>
      <c r="F61" s="21">
        <v>0.70588237047195435</v>
      </c>
      <c r="G61" s="22">
        <v>5</v>
      </c>
      <c r="H61" s="21">
        <v>0.625</v>
      </c>
      <c r="I61" s="21">
        <v>0.7321428656578064</v>
      </c>
      <c r="J61" s="21">
        <v>0.67857140302658081</v>
      </c>
      <c r="K61" s="21">
        <v>0.78571426868438721</v>
      </c>
      <c r="L61" s="21">
        <v>0.43564355373382568</v>
      </c>
      <c r="M61" s="21">
        <v>0.40196079015731812</v>
      </c>
      <c r="N61" s="21">
        <v>0.30392158031463623</v>
      </c>
      <c r="O61" s="21">
        <v>0.63265305757522583</v>
      </c>
      <c r="P61" s="21">
        <v>0.4329896867275238</v>
      </c>
      <c r="Q61" s="21">
        <v>0.41836735606193542</v>
      </c>
      <c r="R61" s="19">
        <v>41.566558837890625</v>
      </c>
      <c r="S61" s="21">
        <v>0.5339806079864502</v>
      </c>
      <c r="T61" s="2" t="s">
        <v>18</v>
      </c>
      <c r="U61" s="2"/>
      <c r="V61" s="2"/>
      <c r="W61" s="2"/>
      <c r="X61" s="2"/>
      <c r="Y61" s="2"/>
      <c r="Z61" s="2"/>
    </row>
    <row r="62" spans="1:26" ht="12.75" customHeight="1" x14ac:dyDescent="0.25">
      <c r="A62" s="2" t="s">
        <v>80</v>
      </c>
      <c r="B62" s="26">
        <v>5.9938759803771973</v>
      </c>
      <c r="C62" s="19">
        <v>3.3077957630157471</v>
      </c>
      <c r="D62" s="19">
        <v>3.4227643013000488</v>
      </c>
      <c r="E62" s="21">
        <v>0.16535432636737823</v>
      </c>
      <c r="F62" s="21">
        <v>0.21052631735801697</v>
      </c>
      <c r="G62" s="22">
        <v>6</v>
      </c>
      <c r="H62" s="21">
        <v>0.31999999284744263</v>
      </c>
      <c r="I62" s="21">
        <v>0.42666667699813843</v>
      </c>
      <c r="J62" s="21">
        <v>0.37333333492279053</v>
      </c>
      <c r="K62" s="21">
        <v>0.43999999761581421</v>
      </c>
      <c r="L62" s="21">
        <v>0.25510203838348389</v>
      </c>
      <c r="M62" s="21">
        <v>0.5317460298538208</v>
      </c>
      <c r="N62" s="21">
        <v>0.48387095332145691</v>
      </c>
      <c r="O62" s="21">
        <v>0.82400000095367432</v>
      </c>
      <c r="P62" s="21">
        <v>0.18400000035762787</v>
      </c>
      <c r="Q62" s="21">
        <v>0.18400000035762787</v>
      </c>
      <c r="R62" s="19">
        <v>54.232009887695313</v>
      </c>
      <c r="S62" s="21">
        <v>0.59055119752883911</v>
      </c>
      <c r="T62" s="2" t="s">
        <v>15</v>
      </c>
      <c r="U62" s="2"/>
      <c r="V62" s="2"/>
      <c r="W62" s="2"/>
      <c r="X62" s="2"/>
      <c r="Y62" s="2"/>
      <c r="Z62" s="2"/>
    </row>
    <row r="63" spans="1:26" ht="12.75" customHeight="1" x14ac:dyDescent="0.25">
      <c r="A63" s="2" t="s">
        <v>81</v>
      </c>
      <c r="B63" s="26">
        <v>6.8244791030883789</v>
      </c>
      <c r="C63" s="19">
        <v>2.8920118808746338</v>
      </c>
      <c r="D63" s="19">
        <v>3.0364892482757568</v>
      </c>
      <c r="E63" s="21">
        <v>0.1428571492433548</v>
      </c>
      <c r="F63" s="21">
        <v>0.75</v>
      </c>
      <c r="G63" s="22">
        <v>3</v>
      </c>
      <c r="H63" s="21">
        <v>0.59154927730560303</v>
      </c>
      <c r="I63" s="21">
        <v>0.76056337356567383</v>
      </c>
      <c r="J63" s="21">
        <v>0.64788734912872314</v>
      </c>
      <c r="K63" s="21">
        <v>0.6619718074798584</v>
      </c>
      <c r="L63" s="21">
        <v>0.23529411852359772</v>
      </c>
      <c r="M63" s="21">
        <v>0.34883719682693481</v>
      </c>
      <c r="N63" s="21">
        <v>0.26900583505630493</v>
      </c>
      <c r="O63" s="21">
        <v>0.73255813121795654</v>
      </c>
      <c r="P63" s="21">
        <v>0.31736525893211365</v>
      </c>
      <c r="Q63" s="21">
        <v>0.3333333432674408</v>
      </c>
      <c r="R63" s="19">
        <v>60.104286193847656</v>
      </c>
      <c r="S63" s="21">
        <v>0.40571427345275879</v>
      </c>
      <c r="T63" s="2" t="s">
        <v>21</v>
      </c>
      <c r="U63" s="2"/>
      <c r="V63" s="2"/>
      <c r="W63" s="2"/>
      <c r="X63" s="2"/>
      <c r="Y63" s="2"/>
      <c r="Z63" s="2"/>
    </row>
    <row r="64" spans="1:26" ht="12.75" customHeight="1" x14ac:dyDescent="0.25">
      <c r="A64" s="5" t="s">
        <v>82</v>
      </c>
      <c r="B64" s="27">
        <v>7.3273582458496094</v>
      </c>
      <c r="C64" s="28">
        <v>3.2800924777984619</v>
      </c>
      <c r="D64" s="28">
        <v>3.3760125637054443</v>
      </c>
      <c r="E64" s="29">
        <v>0.26363635063171387</v>
      </c>
      <c r="F64" s="29">
        <v>1</v>
      </c>
      <c r="G64" s="30">
        <v>4</v>
      </c>
      <c r="H64" s="29">
        <v>0.65454542636871338</v>
      </c>
      <c r="I64" s="29">
        <v>0.72727274894714355</v>
      </c>
      <c r="J64" s="29">
        <v>0.63636362552642822</v>
      </c>
      <c r="K64" s="29">
        <v>0.7818182110786438</v>
      </c>
      <c r="L64" s="29">
        <v>0.22935779392719269</v>
      </c>
      <c r="M64" s="29">
        <v>0.380952388048172</v>
      </c>
      <c r="N64" s="29">
        <v>0.33962264657020569</v>
      </c>
      <c r="O64" s="29">
        <v>0.70093458890914917</v>
      </c>
      <c r="P64" s="29">
        <v>0.44339624047279358</v>
      </c>
      <c r="Q64" s="29">
        <v>0.48113209009170532</v>
      </c>
      <c r="R64" s="28">
        <v>58.144027709960938</v>
      </c>
      <c r="S64" s="29">
        <v>0.5</v>
      </c>
      <c r="T64" s="5" t="s">
        <v>18</v>
      </c>
      <c r="U64" s="2"/>
      <c r="V64" s="2"/>
      <c r="W64" s="2"/>
      <c r="X64" s="2"/>
      <c r="Y64" s="2"/>
      <c r="Z64" s="2"/>
    </row>
    <row r="65" spans="1:26" ht="12.75" customHeight="1" x14ac:dyDescent="0.25">
      <c r="A65" s="2"/>
      <c r="B65" s="2"/>
      <c r="C65" s="2"/>
      <c r="D65" s="2"/>
      <c r="E65" s="31"/>
      <c r="F65" s="31"/>
      <c r="G65" s="32"/>
      <c r="H65" s="31"/>
      <c r="I65" s="31"/>
      <c r="J65" s="31"/>
      <c r="K65" s="31"/>
      <c r="L65" s="31"/>
      <c r="M65" s="31"/>
      <c r="N65" s="31"/>
      <c r="O65" s="31"/>
      <c r="P65" s="31"/>
      <c r="Q65" s="31"/>
      <c r="R65" s="2"/>
      <c r="S65" s="31"/>
      <c r="T65" s="2"/>
      <c r="U65" s="2"/>
      <c r="V65" s="2"/>
      <c r="W65" s="2"/>
      <c r="X65" s="2"/>
      <c r="Y65" s="2"/>
      <c r="Z65" s="2"/>
    </row>
    <row r="66" spans="1:26" ht="12.75" customHeight="1" x14ac:dyDescent="0.25">
      <c r="A66" s="15" t="e">
        <f>#REF!</f>
        <v>#REF!</v>
      </c>
      <c r="B66" s="16">
        <f t="shared" ref="B66:S66" si="0">SUMIF($A$2:$A$64,$A$66,B2:B64)</f>
        <v>0</v>
      </c>
      <c r="C66" s="16">
        <f t="shared" si="0"/>
        <v>0</v>
      </c>
      <c r="D66" s="16">
        <f t="shared" si="0"/>
        <v>0</v>
      </c>
      <c r="E66" s="17">
        <f t="shared" si="0"/>
        <v>0</v>
      </c>
      <c r="F66" s="17">
        <f t="shared" si="0"/>
        <v>0</v>
      </c>
      <c r="G66" s="18">
        <f t="shared" si="0"/>
        <v>0</v>
      </c>
      <c r="H66" s="17">
        <f t="shared" si="0"/>
        <v>0</v>
      </c>
      <c r="I66" s="17">
        <f t="shared" si="0"/>
        <v>0</v>
      </c>
      <c r="J66" s="17">
        <f t="shared" si="0"/>
        <v>0</v>
      </c>
      <c r="K66" s="17">
        <f t="shared" si="0"/>
        <v>0</v>
      </c>
      <c r="L66" s="17">
        <f t="shared" si="0"/>
        <v>0</v>
      </c>
      <c r="M66" s="17">
        <f t="shared" si="0"/>
        <v>0</v>
      </c>
      <c r="N66" s="17">
        <f t="shared" si="0"/>
        <v>0</v>
      </c>
      <c r="O66" s="17">
        <f t="shared" si="0"/>
        <v>0</v>
      </c>
      <c r="P66" s="17">
        <f t="shared" si="0"/>
        <v>0</v>
      </c>
      <c r="Q66" s="17">
        <f t="shared" si="0"/>
        <v>0</v>
      </c>
      <c r="R66" s="16">
        <f t="shared" si="0"/>
        <v>0</v>
      </c>
      <c r="S66" s="17">
        <f t="shared" si="0"/>
        <v>0</v>
      </c>
      <c r="T66" s="2"/>
      <c r="U66" s="2"/>
      <c r="V66" s="2"/>
      <c r="W66" s="2"/>
      <c r="X66" s="2"/>
      <c r="Y66" s="2"/>
      <c r="Z66" s="2"/>
    </row>
    <row r="67" spans="1:26" ht="12.75" customHeight="1" x14ac:dyDescent="0.25">
      <c r="A67" s="2" t="s">
        <v>102</v>
      </c>
      <c r="B67" s="19">
        <f t="shared" ref="B67:S67" si="1">MIN(B2:B64)</f>
        <v>4.8037805557250977</v>
      </c>
      <c r="C67" s="19">
        <f t="shared" si="1"/>
        <v>2.7587718963623047</v>
      </c>
      <c r="D67" s="19">
        <f t="shared" si="1"/>
        <v>2.8947367668151855</v>
      </c>
      <c r="E67" s="21">
        <f t="shared" si="1"/>
        <v>4.1666667908430099E-2</v>
      </c>
      <c r="F67" s="21">
        <f t="shared" si="1"/>
        <v>2.222222276031971E-2</v>
      </c>
      <c r="G67" s="22">
        <f t="shared" si="1"/>
        <v>2</v>
      </c>
      <c r="H67" s="21">
        <f t="shared" si="1"/>
        <v>0.21311475336551666</v>
      </c>
      <c r="I67" s="21">
        <f t="shared" si="1"/>
        <v>0.31147539615631104</v>
      </c>
      <c r="J67" s="21">
        <f t="shared" si="1"/>
        <v>0.21311475336551666</v>
      </c>
      <c r="K67" s="21">
        <f t="shared" si="1"/>
        <v>0.26229506731033325</v>
      </c>
      <c r="L67" s="21">
        <f t="shared" si="1"/>
        <v>0.12113402038812637</v>
      </c>
      <c r="M67" s="21">
        <f t="shared" si="1"/>
        <v>0.20606060326099396</v>
      </c>
      <c r="N67" s="21">
        <f t="shared" si="1"/>
        <v>0.19685038924217224</v>
      </c>
      <c r="O67" s="21">
        <f t="shared" si="1"/>
        <v>0.53642386198043823</v>
      </c>
      <c r="P67" s="21">
        <f t="shared" si="1"/>
        <v>0.18400000035762787</v>
      </c>
      <c r="Q67" s="21">
        <f t="shared" si="1"/>
        <v>0.18400000035762787</v>
      </c>
      <c r="R67" s="19">
        <f t="shared" si="1"/>
        <v>34.822238922119141</v>
      </c>
      <c r="S67" s="21">
        <f t="shared" si="1"/>
        <v>0.18656715750694275</v>
      </c>
      <c r="T67" s="2"/>
      <c r="U67" s="2"/>
      <c r="V67" s="2"/>
      <c r="W67" s="2"/>
      <c r="X67" s="2"/>
      <c r="Y67" s="2"/>
      <c r="Z67" s="2"/>
    </row>
    <row r="68" spans="1:26" ht="12.75" customHeight="1" x14ac:dyDescent="0.25">
      <c r="A68" s="2" t="s">
        <v>103</v>
      </c>
      <c r="B68" s="19">
        <f t="shared" ref="B68:S68" si="2">MEDIAN(B2:B64)</f>
        <v>6.4638571739196777</v>
      </c>
      <c r="C68" s="19">
        <f t="shared" si="2"/>
        <v>3.1101448535919189</v>
      </c>
      <c r="D68" s="19">
        <f t="shared" si="2"/>
        <v>3.2323808670043945</v>
      </c>
      <c r="E68" s="21">
        <f t="shared" si="2"/>
        <v>0.18032786250114441</v>
      </c>
      <c r="F68" s="21">
        <f t="shared" si="2"/>
        <v>0.625</v>
      </c>
      <c r="G68" s="22">
        <f t="shared" si="2"/>
        <v>5</v>
      </c>
      <c r="H68" s="21">
        <f t="shared" si="2"/>
        <v>0.50943398475646973</v>
      </c>
      <c r="I68" s="21">
        <f t="shared" si="2"/>
        <v>0.72972971200942993</v>
      </c>
      <c r="J68" s="21">
        <f t="shared" si="2"/>
        <v>0.57534247636795044</v>
      </c>
      <c r="K68" s="21">
        <f t="shared" si="2"/>
        <v>0.6619718074798584</v>
      </c>
      <c r="L68" s="21">
        <f t="shared" si="2"/>
        <v>0.30681818723678589</v>
      </c>
      <c r="M68" s="21">
        <f t="shared" si="2"/>
        <v>0.44144144654273987</v>
      </c>
      <c r="N68" s="21">
        <f t="shared" si="2"/>
        <v>0.34265735745429993</v>
      </c>
      <c r="O68" s="21">
        <f t="shared" si="2"/>
        <v>0.73333334922790527</v>
      </c>
      <c r="P68" s="21">
        <f t="shared" si="2"/>
        <v>0.39864864945411682</v>
      </c>
      <c r="Q68" s="21">
        <f t="shared" si="2"/>
        <v>0.39230769872665405</v>
      </c>
      <c r="R68" s="19">
        <f t="shared" si="2"/>
        <v>55.633831024169922</v>
      </c>
      <c r="S68" s="21">
        <f t="shared" si="2"/>
        <v>0.4716981053352356</v>
      </c>
      <c r="T68" s="2"/>
      <c r="U68" s="2"/>
      <c r="V68" s="2"/>
      <c r="W68" s="2"/>
      <c r="X68" s="2"/>
      <c r="Y68" s="2"/>
      <c r="Z68" s="2"/>
    </row>
    <row r="69" spans="1:26" ht="12.75" customHeight="1" x14ac:dyDescent="0.25">
      <c r="A69" s="2" t="s">
        <v>104</v>
      </c>
      <c r="B69" s="19">
        <f t="shared" ref="B69:S69" si="3">MAX(B2:B64)</f>
        <v>7.393796443939209</v>
      </c>
      <c r="C69" s="19">
        <f t="shared" si="3"/>
        <v>3.4879486560821533</v>
      </c>
      <c r="D69" s="19">
        <f t="shared" si="3"/>
        <v>3.5707964897155762</v>
      </c>
      <c r="E69" s="21">
        <f t="shared" si="3"/>
        <v>0.39423078298568726</v>
      </c>
      <c r="F69" s="21">
        <f t="shared" si="3"/>
        <v>1</v>
      </c>
      <c r="G69" s="22">
        <f t="shared" si="3"/>
        <v>8.5</v>
      </c>
      <c r="H69" s="21">
        <f t="shared" si="3"/>
        <v>0.69811320304870605</v>
      </c>
      <c r="I69" s="21">
        <f t="shared" si="3"/>
        <v>0.93220341205596924</v>
      </c>
      <c r="J69" s="21">
        <f t="shared" si="3"/>
        <v>0.81012660264968872</v>
      </c>
      <c r="K69" s="21">
        <f t="shared" si="3"/>
        <v>0.86075949668884277</v>
      </c>
      <c r="L69" s="21">
        <f t="shared" si="3"/>
        <v>0.5157894492149353</v>
      </c>
      <c r="M69" s="21">
        <f t="shared" si="3"/>
        <v>0.6845238208770752</v>
      </c>
      <c r="N69" s="21">
        <f t="shared" si="3"/>
        <v>0.65306121110916138</v>
      </c>
      <c r="O69" s="21">
        <f t="shared" si="3"/>
        <v>0.85436892509460449</v>
      </c>
      <c r="P69" s="21">
        <f t="shared" si="3"/>
        <v>0.77099233865737915</v>
      </c>
      <c r="Q69" s="21">
        <f t="shared" si="3"/>
        <v>0.6538461446762085</v>
      </c>
      <c r="R69" s="19">
        <f t="shared" si="3"/>
        <v>63.047512054443359</v>
      </c>
      <c r="S69" s="21">
        <f t="shared" si="3"/>
        <v>0.69230771064758301</v>
      </c>
      <c r="T69" s="2"/>
      <c r="U69" s="2"/>
      <c r="V69" s="2"/>
      <c r="W69" s="2"/>
      <c r="X69" s="2"/>
      <c r="Y69" s="2"/>
      <c r="Z69" s="2"/>
    </row>
    <row r="70" spans="1:26" ht="12.75" customHeight="1" x14ac:dyDescent="0.25">
      <c r="A70" s="2" t="s">
        <v>105</v>
      </c>
      <c r="B70" s="10" t="e">
        <f t="shared" ref="B70:F70" si="4">RANK(B66,B2:B64,0)</f>
        <v>#N/A</v>
      </c>
      <c r="C70" s="10" t="e">
        <f t="shared" si="4"/>
        <v>#N/A</v>
      </c>
      <c r="D70" s="10" t="e">
        <f t="shared" si="4"/>
        <v>#N/A</v>
      </c>
      <c r="E70" s="10" t="e">
        <f t="shared" si="4"/>
        <v>#N/A</v>
      </c>
      <c r="F70" s="10" t="e">
        <f t="shared" si="4"/>
        <v>#N/A</v>
      </c>
      <c r="G70" s="10" t="e">
        <f>RANK(G66,G2:G64,1)</f>
        <v>#N/A</v>
      </c>
      <c r="H70" s="10" t="e">
        <f t="shared" ref="H70:K70" si="5">RANK(H66,H2:H64,0)</f>
        <v>#N/A</v>
      </c>
      <c r="I70" s="10" t="e">
        <f t="shared" si="5"/>
        <v>#N/A</v>
      </c>
      <c r="J70" s="10" t="e">
        <f t="shared" si="5"/>
        <v>#N/A</v>
      </c>
      <c r="K70" s="10" t="e">
        <f t="shared" si="5"/>
        <v>#N/A</v>
      </c>
      <c r="L70" s="10" t="e">
        <f t="shared" ref="L70:N70" si="6">RANK(L66,L2:L64,1)</f>
        <v>#N/A</v>
      </c>
      <c r="M70" s="10" t="e">
        <f t="shared" si="6"/>
        <v>#N/A</v>
      </c>
      <c r="N70" s="10" t="e">
        <f t="shared" si="6"/>
        <v>#N/A</v>
      </c>
      <c r="O70" s="10" t="e">
        <f t="shared" ref="O70:S70" si="7">RANK(O66,O2:O64,0)</f>
        <v>#N/A</v>
      </c>
      <c r="P70" s="10" t="e">
        <f t="shared" si="7"/>
        <v>#N/A</v>
      </c>
      <c r="Q70" s="10" t="e">
        <f t="shared" si="7"/>
        <v>#N/A</v>
      </c>
      <c r="R70" s="10" t="e">
        <f t="shared" si="7"/>
        <v>#N/A</v>
      </c>
      <c r="S70" s="10" t="e">
        <f t="shared" si="7"/>
        <v>#N/A</v>
      </c>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1" width="11.42578125" customWidth="1"/>
    <col min="2" max="2" width="14" customWidth="1"/>
    <col min="3" max="3" width="23.28515625" customWidth="1"/>
    <col min="4" max="13" width="12.7109375" customWidth="1"/>
    <col min="14" max="14" width="17.42578125" customWidth="1"/>
    <col min="15" max="15" width="15.140625" customWidth="1"/>
    <col min="16" max="16" width="12.7109375" customWidth="1"/>
    <col min="17" max="17" width="34.7109375" customWidth="1"/>
    <col min="18" max="26" width="8.7109375" customWidth="1"/>
  </cols>
  <sheetData>
    <row r="1" spans="1:26" ht="12.75" customHeight="1" x14ac:dyDescent="0.25">
      <c r="A1" s="33" t="s">
        <v>0</v>
      </c>
      <c r="B1" s="1" t="s">
        <v>4</v>
      </c>
      <c r="C1" s="1" t="s">
        <v>138</v>
      </c>
      <c r="D1" s="1" t="s">
        <v>139</v>
      </c>
      <c r="E1" s="1" t="s">
        <v>140</v>
      </c>
      <c r="F1" s="1" t="s">
        <v>141</v>
      </c>
      <c r="G1" s="1" t="s">
        <v>142</v>
      </c>
      <c r="H1" s="1" t="s">
        <v>143</v>
      </c>
      <c r="I1" s="1" t="s">
        <v>144</v>
      </c>
      <c r="J1" s="1" t="s">
        <v>145</v>
      </c>
      <c r="K1" s="1" t="s">
        <v>146</v>
      </c>
      <c r="L1" s="1" t="s">
        <v>147</v>
      </c>
      <c r="M1" s="1" t="s">
        <v>148</v>
      </c>
      <c r="N1" s="1" t="s">
        <v>149</v>
      </c>
      <c r="O1" s="1" t="s">
        <v>150</v>
      </c>
      <c r="P1" s="1" t="s">
        <v>151</v>
      </c>
      <c r="Q1" s="1" t="s">
        <v>13</v>
      </c>
      <c r="R1" s="2"/>
      <c r="S1" s="2"/>
      <c r="T1" s="2"/>
      <c r="U1" s="2"/>
      <c r="V1" s="2"/>
      <c r="W1" s="2"/>
      <c r="X1" s="2"/>
      <c r="Y1" s="2"/>
      <c r="Z1" s="2"/>
    </row>
    <row r="2" spans="1:26" ht="12.75" customHeight="1" x14ac:dyDescent="0.25">
      <c r="A2" s="2" t="s">
        <v>14</v>
      </c>
      <c r="B2" s="19">
        <v>7.0928926467895508</v>
      </c>
      <c r="C2" s="21">
        <v>0.3333333432674408</v>
      </c>
      <c r="D2" s="21">
        <v>0.72164946794509888</v>
      </c>
      <c r="E2" s="21">
        <v>0.64583331346511841</v>
      </c>
      <c r="F2" s="21">
        <v>0.625</v>
      </c>
      <c r="G2" s="21">
        <v>0.67708331346511841</v>
      </c>
      <c r="H2" s="21">
        <v>0.80412369966506958</v>
      </c>
      <c r="I2" s="21">
        <v>0.71875</v>
      </c>
      <c r="J2" s="21">
        <v>0.76190477609634399</v>
      </c>
      <c r="K2" s="21">
        <v>0.76190477609634399</v>
      </c>
      <c r="L2" s="21">
        <v>0.75806450843811035</v>
      </c>
      <c r="M2" s="21">
        <v>0.21739129722118378</v>
      </c>
      <c r="N2" s="21">
        <v>3.1496062874794006E-2</v>
      </c>
      <c r="O2" s="21">
        <v>3.3333335071802139E-2</v>
      </c>
      <c r="P2" s="22">
        <v>3</v>
      </c>
      <c r="Q2" s="2" t="s">
        <v>15</v>
      </c>
      <c r="R2" s="2"/>
      <c r="S2" s="2"/>
      <c r="T2" s="2"/>
      <c r="U2" s="2"/>
      <c r="V2" s="2"/>
      <c r="W2" s="2"/>
      <c r="X2" s="2"/>
      <c r="Y2" s="2"/>
      <c r="Z2" s="2"/>
    </row>
    <row r="3" spans="1:26" ht="12.75" customHeight="1" x14ac:dyDescent="0.25">
      <c r="A3" s="2" t="s">
        <v>29</v>
      </c>
      <c r="B3" s="19">
        <v>8.1959047317504883</v>
      </c>
      <c r="C3" s="21">
        <v>0.18939393758773804</v>
      </c>
      <c r="D3" s="21">
        <v>0.93203884363174438</v>
      </c>
      <c r="E3" s="21">
        <v>0.75728154182434082</v>
      </c>
      <c r="F3" s="21">
        <v>0.86274510622024536</v>
      </c>
      <c r="G3" s="21">
        <v>0.78640776872634888</v>
      </c>
      <c r="H3" s="21">
        <v>0.88235294818878174</v>
      </c>
      <c r="I3" s="21">
        <v>0.85148513317108154</v>
      </c>
      <c r="J3" s="21">
        <v>0.76811593770980835</v>
      </c>
      <c r="K3" s="21">
        <v>0.84057968854904175</v>
      </c>
      <c r="L3" s="21">
        <v>0.79710143804550171</v>
      </c>
      <c r="M3" s="21">
        <v>0</v>
      </c>
      <c r="N3" s="21">
        <v>7.352941483259201E-2</v>
      </c>
      <c r="O3" s="21">
        <v>4.0816325694322586E-2</v>
      </c>
      <c r="P3" s="22">
        <v>11</v>
      </c>
      <c r="Q3" s="2" t="s">
        <v>24</v>
      </c>
      <c r="R3" s="2"/>
      <c r="S3" s="2"/>
      <c r="T3" s="2"/>
      <c r="U3" s="2"/>
      <c r="V3" s="2"/>
      <c r="W3" s="2"/>
      <c r="X3" s="2"/>
      <c r="Y3" s="2"/>
      <c r="Z3" s="2"/>
    </row>
    <row r="4" spans="1:26" ht="12.75" customHeight="1" x14ac:dyDescent="0.25">
      <c r="A4" s="2" t="s">
        <v>17</v>
      </c>
      <c r="B4" s="19">
        <v>7.2530646324157715</v>
      </c>
      <c r="C4" s="21">
        <v>9.3023255467414856E-2</v>
      </c>
      <c r="D4" s="21">
        <v>0.93999999761581421</v>
      </c>
      <c r="E4" s="21">
        <v>0.87999999523162842</v>
      </c>
      <c r="F4" s="21">
        <v>0.88999998569488525</v>
      </c>
      <c r="G4" s="21">
        <v>0.87128710746765137</v>
      </c>
      <c r="H4" s="21">
        <v>0.78217822313308716</v>
      </c>
      <c r="I4" s="21">
        <v>0.9207921028137207</v>
      </c>
      <c r="J4" s="21">
        <v>0.71428573131561279</v>
      </c>
      <c r="K4" s="21">
        <v>0.70909088850021362</v>
      </c>
      <c r="L4" s="21">
        <v>0.70909088850021362</v>
      </c>
      <c r="M4" s="21">
        <v>0.26315790414810181</v>
      </c>
      <c r="N4" s="21">
        <v>3.7593983113765717E-2</v>
      </c>
      <c r="O4" s="21">
        <v>8.510638028383255E-2</v>
      </c>
      <c r="P4" s="22">
        <v>80</v>
      </c>
      <c r="Q4" s="2" t="s">
        <v>18</v>
      </c>
      <c r="R4" s="2"/>
      <c r="S4" s="2"/>
      <c r="T4" s="2"/>
      <c r="U4" s="2"/>
      <c r="V4" s="2"/>
      <c r="W4" s="2"/>
      <c r="X4" s="2"/>
      <c r="Y4" s="2"/>
      <c r="Z4" s="2"/>
    </row>
    <row r="5" spans="1:26" ht="12.75" customHeight="1" x14ac:dyDescent="0.25">
      <c r="A5" s="2" t="s">
        <v>19</v>
      </c>
      <c r="B5" s="19">
        <v>7.3226151466369629</v>
      </c>
      <c r="C5" s="21">
        <v>0.22499999403953552</v>
      </c>
      <c r="D5" s="21">
        <v>0.78787881135940552</v>
      </c>
      <c r="E5" s="21">
        <v>0.71641790866851807</v>
      </c>
      <c r="F5" s="21">
        <v>0.8507462739944458</v>
      </c>
      <c r="G5" s="21">
        <v>0.72307693958282471</v>
      </c>
      <c r="H5" s="21">
        <v>0.93939393758773804</v>
      </c>
      <c r="I5" s="21">
        <v>0.89393937587738037</v>
      </c>
      <c r="J5" s="21">
        <v>0.83333331346511841</v>
      </c>
      <c r="K5" s="21">
        <v>0.85416668653488159</v>
      </c>
      <c r="L5" s="21">
        <v>0.85416668653488159</v>
      </c>
      <c r="M5" s="21">
        <v>0.4375</v>
      </c>
      <c r="N5" s="21">
        <v>0.125</v>
      </c>
      <c r="O5" s="21">
        <v>7.8947365283966064E-2</v>
      </c>
      <c r="P5" s="22">
        <v>32</v>
      </c>
      <c r="Q5" s="2" t="s">
        <v>18</v>
      </c>
      <c r="R5" s="2"/>
      <c r="S5" s="2"/>
      <c r="T5" s="2"/>
      <c r="U5" s="2"/>
      <c r="V5" s="2"/>
      <c r="W5" s="2"/>
      <c r="X5" s="2"/>
      <c r="Y5" s="2"/>
      <c r="Z5" s="2"/>
    </row>
    <row r="6" spans="1:26" ht="12.75" customHeight="1" x14ac:dyDescent="0.25">
      <c r="A6" s="2" t="s">
        <v>16</v>
      </c>
      <c r="B6" s="19">
        <v>7.8178462982177734</v>
      </c>
      <c r="C6" s="21">
        <v>0.13131313025951385</v>
      </c>
      <c r="D6" s="21">
        <v>0.88709676265716553</v>
      </c>
      <c r="E6" s="21">
        <v>0.85483872890472412</v>
      </c>
      <c r="F6" s="21">
        <v>0.61290323734283447</v>
      </c>
      <c r="G6" s="21">
        <v>0.70967739820480347</v>
      </c>
      <c r="H6" s="21">
        <v>0.83870965242385864</v>
      </c>
      <c r="I6" s="21">
        <v>0.62903225421905518</v>
      </c>
      <c r="J6" s="21">
        <v>0.91803276538848877</v>
      </c>
      <c r="K6" s="21">
        <v>0.91803276538848877</v>
      </c>
      <c r="L6" s="21">
        <v>0.91803276538848877</v>
      </c>
      <c r="M6" s="21">
        <v>0.23076923191547394</v>
      </c>
      <c r="N6" s="21">
        <v>3.9999999105930328E-2</v>
      </c>
      <c r="O6" s="21">
        <v>3.125E-2</v>
      </c>
      <c r="P6" s="22">
        <v>44</v>
      </c>
      <c r="Q6" s="2" t="s">
        <v>15</v>
      </c>
      <c r="R6" s="2"/>
      <c r="S6" s="2"/>
      <c r="T6" s="2"/>
      <c r="U6" s="2"/>
      <c r="V6" s="2"/>
      <c r="W6" s="2"/>
      <c r="X6" s="2"/>
      <c r="Y6" s="2"/>
      <c r="Z6" s="2"/>
    </row>
    <row r="7" spans="1:26" ht="12.75" customHeight="1" x14ac:dyDescent="0.25">
      <c r="A7" s="2" t="s">
        <v>20</v>
      </c>
      <c r="B7" s="19">
        <v>7.1405792236328125</v>
      </c>
      <c r="C7" s="21">
        <v>0.22875817120075226</v>
      </c>
      <c r="D7" s="21">
        <v>0.79611653089523315</v>
      </c>
      <c r="E7" s="21">
        <v>0.76923078298568726</v>
      </c>
      <c r="F7" s="21">
        <v>0.80582523345947266</v>
      </c>
      <c r="G7" s="21">
        <v>0.77358490228652954</v>
      </c>
      <c r="H7" s="21">
        <v>0.89423078298568726</v>
      </c>
      <c r="I7" s="21">
        <v>0.78640776872634888</v>
      </c>
      <c r="J7" s="21">
        <v>0.75714284181594849</v>
      </c>
      <c r="K7" s="21">
        <v>0.74285715818405151</v>
      </c>
      <c r="L7" s="21">
        <v>0.72857141494750977</v>
      </c>
      <c r="M7" s="21">
        <v>0.3333333432674408</v>
      </c>
      <c r="N7" s="21">
        <v>6.4516128040850163E-3</v>
      </c>
      <c r="O7" s="21">
        <v>6.8965516984462738E-2</v>
      </c>
      <c r="P7" s="22">
        <v>40</v>
      </c>
      <c r="Q7" s="2" t="s">
        <v>21</v>
      </c>
      <c r="R7" s="2"/>
      <c r="S7" s="2"/>
      <c r="T7" s="2"/>
      <c r="U7" s="2"/>
      <c r="V7" s="2"/>
      <c r="W7" s="2"/>
      <c r="X7" s="2"/>
      <c r="Y7" s="2"/>
      <c r="Z7" s="2"/>
    </row>
    <row r="8" spans="1:26" ht="12.75" customHeight="1" x14ac:dyDescent="0.25">
      <c r="A8" s="2" t="s">
        <v>22</v>
      </c>
      <c r="B8" s="19">
        <v>7.6113643646240234</v>
      </c>
      <c r="C8" s="21">
        <v>9.0225562453269958E-2</v>
      </c>
      <c r="D8" s="21">
        <v>0.94488191604614258</v>
      </c>
      <c r="E8" s="21">
        <v>0.96062994003295898</v>
      </c>
      <c r="F8" s="21">
        <v>0.96850395202636719</v>
      </c>
      <c r="G8" s="21">
        <v>0.9370078444480896</v>
      </c>
      <c r="H8" s="21">
        <v>0.9370078444480896</v>
      </c>
      <c r="I8" s="21">
        <v>0.9370078444480896</v>
      </c>
      <c r="J8" s="21">
        <v>0.55319148302078247</v>
      </c>
      <c r="K8" s="21">
        <v>0.56521737575531006</v>
      </c>
      <c r="L8" s="21">
        <v>0.58695650100708008</v>
      </c>
      <c r="M8" s="21">
        <v>7.1428574621677399E-2</v>
      </c>
      <c r="N8" s="21">
        <v>2.9411764815449715E-2</v>
      </c>
      <c r="O8" s="21">
        <v>0</v>
      </c>
      <c r="P8" s="22">
        <v>48</v>
      </c>
      <c r="Q8" s="2" t="s">
        <v>15</v>
      </c>
      <c r="R8" s="2"/>
      <c r="S8" s="2"/>
      <c r="T8" s="2"/>
      <c r="U8" s="2"/>
      <c r="V8" s="2"/>
      <c r="W8" s="2"/>
      <c r="X8" s="2"/>
      <c r="Y8" s="2"/>
      <c r="Z8" s="2"/>
    </row>
    <row r="9" spans="1:26" ht="12.75" customHeight="1" x14ac:dyDescent="0.25">
      <c r="A9" s="2" t="s">
        <v>25</v>
      </c>
      <c r="B9" s="19">
        <v>7.8634424209594727</v>
      </c>
      <c r="C9" s="21">
        <v>0.2800000011920929</v>
      </c>
      <c r="D9" s="21">
        <v>0.86666667461395264</v>
      </c>
      <c r="E9" s="21">
        <v>0.75238096714019775</v>
      </c>
      <c r="F9" s="21">
        <v>0.70873785018920898</v>
      </c>
      <c r="G9" s="21">
        <v>0.75238096714019775</v>
      </c>
      <c r="H9" s="21">
        <v>0.93269228935241699</v>
      </c>
      <c r="I9" s="21">
        <v>0.75</v>
      </c>
      <c r="J9" s="21">
        <v>0.83561640977859497</v>
      </c>
      <c r="K9" s="21">
        <v>0.84931504726409912</v>
      </c>
      <c r="L9" s="21">
        <v>0.8219178318977356</v>
      </c>
      <c r="M9" s="21">
        <v>9.5238097012042999E-2</v>
      </c>
      <c r="N9" s="21">
        <v>6.1538461595773697E-2</v>
      </c>
      <c r="O9" s="21">
        <v>9.4339624047279358E-2</v>
      </c>
      <c r="P9" s="22">
        <v>6</v>
      </c>
      <c r="Q9" s="2" t="s">
        <v>26</v>
      </c>
      <c r="R9" s="2"/>
      <c r="S9" s="2"/>
      <c r="T9" s="2"/>
      <c r="U9" s="2"/>
      <c r="V9" s="2"/>
      <c r="W9" s="2"/>
      <c r="X9" s="2"/>
      <c r="Y9" s="2"/>
      <c r="Z9" s="2"/>
    </row>
    <row r="10" spans="1:26" ht="12.75" customHeight="1" x14ac:dyDescent="0.25">
      <c r="A10" s="2" t="s">
        <v>23</v>
      </c>
      <c r="B10" s="19">
        <v>6.7610359191894531</v>
      </c>
      <c r="C10" s="21">
        <v>0.18994413316249847</v>
      </c>
      <c r="D10" s="21">
        <v>0.8571428656578064</v>
      </c>
      <c r="E10" s="21">
        <v>0.86309522390365601</v>
      </c>
      <c r="F10" s="21">
        <v>0.83928573131561279</v>
      </c>
      <c r="G10" s="21">
        <v>0.83928573131561279</v>
      </c>
      <c r="H10" s="21">
        <v>0.9821428656578064</v>
      </c>
      <c r="I10" s="21">
        <v>0.85119044780731201</v>
      </c>
      <c r="J10" s="21">
        <v>0.61467891931533813</v>
      </c>
      <c r="K10" s="21">
        <v>0.52293580770492554</v>
      </c>
      <c r="L10" s="21">
        <v>0.53211009502410889</v>
      </c>
      <c r="M10" s="21">
        <v>0.28571429848670959</v>
      </c>
      <c r="N10" s="21">
        <v>1.6304347664117813E-2</v>
      </c>
      <c r="O10" s="21">
        <v>9.2307694256305695E-2</v>
      </c>
      <c r="P10" s="22">
        <v>48</v>
      </c>
      <c r="Q10" s="2" t="s">
        <v>24</v>
      </c>
      <c r="R10" s="2"/>
      <c r="S10" s="2"/>
      <c r="T10" s="2"/>
      <c r="U10" s="2"/>
      <c r="V10" s="2"/>
      <c r="W10" s="2"/>
      <c r="X10" s="2"/>
      <c r="Y10" s="2"/>
      <c r="Z10" s="2"/>
    </row>
    <row r="11" spans="1:26" ht="12.75" customHeight="1" x14ac:dyDescent="0.25">
      <c r="A11" s="2" t="s">
        <v>27</v>
      </c>
      <c r="B11" s="19">
        <v>7.7225513458251953</v>
      </c>
      <c r="C11" s="21">
        <v>0.12621359527111053</v>
      </c>
      <c r="D11" s="21">
        <v>0.91666668653488159</v>
      </c>
      <c r="E11" s="21">
        <v>0.7764706015586853</v>
      </c>
      <c r="F11" s="21">
        <v>0.78571426868438721</v>
      </c>
      <c r="G11" s="21">
        <v>0.79069769382476807</v>
      </c>
      <c r="H11" s="21">
        <v>0.90588235855102539</v>
      </c>
      <c r="I11" s="21">
        <v>0.78571426868438721</v>
      </c>
      <c r="J11" s="21">
        <v>0.77192980051040649</v>
      </c>
      <c r="K11" s="21">
        <v>0.75438594818115234</v>
      </c>
      <c r="L11" s="21">
        <v>0.77192980051040649</v>
      </c>
      <c r="M11" s="21">
        <v>0.30000001192092896</v>
      </c>
      <c r="N11" s="21">
        <v>5.6603774428367615E-2</v>
      </c>
      <c r="O11" s="21">
        <v>5.55555559694767E-2</v>
      </c>
      <c r="P11" s="22">
        <v>5</v>
      </c>
      <c r="Q11" s="2" t="s">
        <v>24</v>
      </c>
      <c r="R11" s="2"/>
      <c r="S11" s="2"/>
      <c r="T11" s="2"/>
      <c r="U11" s="2"/>
      <c r="V11" s="2"/>
      <c r="W11" s="2"/>
      <c r="X11" s="2"/>
      <c r="Y11" s="2"/>
      <c r="Z11" s="2"/>
    </row>
    <row r="12" spans="1:26" ht="12.75" customHeight="1" x14ac:dyDescent="0.25">
      <c r="A12" s="2" t="s">
        <v>28</v>
      </c>
      <c r="B12" s="19">
        <v>8.2040996551513672</v>
      </c>
      <c r="C12" s="21">
        <v>0.375</v>
      </c>
      <c r="D12" s="21">
        <v>0.82105261087417603</v>
      </c>
      <c r="E12" s="21">
        <v>0.81052631139755249</v>
      </c>
      <c r="F12" s="21">
        <v>0.77894735336303711</v>
      </c>
      <c r="G12" s="21">
        <v>0.74468082189559937</v>
      </c>
      <c r="H12" s="21">
        <v>0.95789474248886108</v>
      </c>
      <c r="I12" s="21">
        <v>0.84042555093765259</v>
      </c>
      <c r="J12" s="21">
        <v>0.9298245906829834</v>
      </c>
      <c r="K12" s="21">
        <v>0.91071426868438721</v>
      </c>
      <c r="L12" s="21">
        <v>0.8928571343421936</v>
      </c>
      <c r="M12" s="21">
        <v>0.1428571492433548</v>
      </c>
      <c r="N12" s="21">
        <v>5.4545454680919647E-2</v>
      </c>
      <c r="O12" s="21">
        <v>5.4545454680919647E-2</v>
      </c>
      <c r="P12" s="22">
        <v>16</v>
      </c>
      <c r="Q12" s="2" t="s">
        <v>26</v>
      </c>
      <c r="R12" s="2"/>
      <c r="S12" s="2"/>
      <c r="T12" s="2"/>
      <c r="U12" s="2"/>
      <c r="V12" s="2"/>
      <c r="W12" s="2"/>
      <c r="X12" s="2"/>
      <c r="Y12" s="2"/>
      <c r="Z12" s="2"/>
    </row>
    <row r="13" spans="1:26" ht="12.75" customHeight="1" x14ac:dyDescent="0.25">
      <c r="A13" s="2" t="s">
        <v>30</v>
      </c>
      <c r="B13" s="19">
        <v>7.4083776473999023</v>
      </c>
      <c r="C13" s="21">
        <v>0.28448274731636047</v>
      </c>
      <c r="D13" s="21">
        <v>0.83870965242385864</v>
      </c>
      <c r="E13" s="21">
        <v>0.81318682432174683</v>
      </c>
      <c r="F13" s="21">
        <v>0.80219781398773193</v>
      </c>
      <c r="G13" s="21">
        <v>0.77173912525177002</v>
      </c>
      <c r="H13" s="21">
        <v>0.92391306161880493</v>
      </c>
      <c r="I13" s="21">
        <v>0.85555553436279297</v>
      </c>
      <c r="J13" s="21">
        <v>0.79104477167129517</v>
      </c>
      <c r="K13" s="21">
        <v>0.80303031206130981</v>
      </c>
      <c r="L13" s="21">
        <v>0.77272725105285645</v>
      </c>
      <c r="M13" s="21">
        <v>0.26086956262588501</v>
      </c>
      <c r="N13" s="21">
        <v>7.6271183788776398E-2</v>
      </c>
      <c r="O13" s="21">
        <v>0.10526315867900848</v>
      </c>
      <c r="P13" s="22">
        <v>32</v>
      </c>
      <c r="Q13" s="2" t="s">
        <v>15</v>
      </c>
      <c r="R13" s="2"/>
      <c r="S13" s="2"/>
      <c r="T13" s="2"/>
      <c r="U13" s="2"/>
      <c r="V13" s="2"/>
      <c r="W13" s="2"/>
      <c r="X13" s="2"/>
      <c r="Y13" s="2"/>
      <c r="Z13" s="2"/>
    </row>
    <row r="14" spans="1:26" ht="12.75" customHeight="1" x14ac:dyDescent="0.25">
      <c r="A14" s="2" t="s">
        <v>32</v>
      </c>
      <c r="B14" s="19">
        <v>7.2347354888916016</v>
      </c>
      <c r="C14" s="21">
        <v>0.3309859037399292</v>
      </c>
      <c r="D14" s="21">
        <v>0.82828283309936523</v>
      </c>
      <c r="E14" s="21">
        <v>0.73469388484954834</v>
      </c>
      <c r="F14" s="21">
        <v>0.70408165454864502</v>
      </c>
      <c r="G14" s="21">
        <v>0.70999997854232788</v>
      </c>
      <c r="H14" s="21">
        <v>0.93877553939819336</v>
      </c>
      <c r="I14" s="21">
        <v>0.76288658380508423</v>
      </c>
      <c r="J14" s="21">
        <v>0.69512194395065308</v>
      </c>
      <c r="K14" s="21">
        <v>0.73170733451843262</v>
      </c>
      <c r="L14" s="21">
        <v>0.707317054271698</v>
      </c>
      <c r="M14" s="21">
        <v>9.0909093618392944E-2</v>
      </c>
      <c r="N14" s="21">
        <v>5.4054055362939835E-2</v>
      </c>
      <c r="O14" s="21">
        <v>3.5714287310838699E-2</v>
      </c>
      <c r="P14" s="22">
        <v>18</v>
      </c>
      <c r="Q14" s="2" t="s">
        <v>15</v>
      </c>
      <c r="R14" s="2"/>
      <c r="S14" s="2"/>
      <c r="T14" s="2"/>
      <c r="U14" s="2"/>
      <c r="V14" s="2"/>
      <c r="W14" s="2"/>
      <c r="X14" s="2"/>
      <c r="Y14" s="2"/>
      <c r="Z14" s="2"/>
    </row>
    <row r="15" spans="1:26" ht="12.75" customHeight="1" x14ac:dyDescent="0.25">
      <c r="A15" s="2" t="s">
        <v>31</v>
      </c>
      <c r="B15" s="19">
        <v>6.8769288063049316</v>
      </c>
      <c r="C15" s="21">
        <v>0.31818181276321411</v>
      </c>
      <c r="D15" s="21">
        <v>0.83076924085617065</v>
      </c>
      <c r="E15" s="21">
        <v>0.64705884456634521</v>
      </c>
      <c r="F15" s="21">
        <v>0.6716417670249939</v>
      </c>
      <c r="G15" s="21">
        <v>0.64615386724472046</v>
      </c>
      <c r="H15" s="21">
        <v>0.86567163467407227</v>
      </c>
      <c r="I15" s="21">
        <v>0.64179104566574097</v>
      </c>
      <c r="J15" s="21">
        <v>0.8253968358039856</v>
      </c>
      <c r="K15" s="21">
        <v>0.79365080595016479</v>
      </c>
      <c r="L15" s="21">
        <v>0.79365080595016479</v>
      </c>
      <c r="M15" s="21">
        <v>0.34782609343528748</v>
      </c>
      <c r="N15" s="21">
        <v>7.0175439119338989E-2</v>
      </c>
      <c r="O15" s="21">
        <v>0.14545454084873199</v>
      </c>
      <c r="P15" s="22">
        <v>8</v>
      </c>
      <c r="Q15" s="2" t="s">
        <v>18</v>
      </c>
      <c r="R15" s="2"/>
      <c r="S15" s="2"/>
      <c r="T15" s="2"/>
      <c r="U15" s="2"/>
      <c r="V15" s="2"/>
      <c r="W15" s="2"/>
      <c r="X15" s="2"/>
      <c r="Y15" s="2"/>
      <c r="Z15" s="2"/>
    </row>
    <row r="16" spans="1:26" ht="12.75" customHeight="1" x14ac:dyDescent="0.25">
      <c r="A16" s="2" t="s">
        <v>33</v>
      </c>
      <c r="B16" s="19">
        <v>8.0680208206176758</v>
      </c>
      <c r="C16" s="21">
        <v>0.33707866072654724</v>
      </c>
      <c r="D16" s="21">
        <v>0.87837839126586914</v>
      </c>
      <c r="E16" s="21">
        <v>0.79054051637649536</v>
      </c>
      <c r="F16" s="21">
        <v>0.79729729890823364</v>
      </c>
      <c r="G16" s="21">
        <v>0.89795917272567749</v>
      </c>
      <c r="H16" s="21">
        <v>0.98639458417892456</v>
      </c>
      <c r="I16" s="21">
        <v>0.89115643501281738</v>
      </c>
      <c r="J16" s="21">
        <v>0.88392859697341919</v>
      </c>
      <c r="K16" s="21">
        <v>0.88392859697341919</v>
      </c>
      <c r="L16" s="21">
        <v>0.85585588216781616</v>
      </c>
      <c r="M16" s="21">
        <v>0.1875</v>
      </c>
      <c r="N16" s="21">
        <v>4.8648647964000702E-2</v>
      </c>
      <c r="O16" s="21">
        <v>9.4339624047279358E-2</v>
      </c>
      <c r="P16" s="22">
        <v>30</v>
      </c>
      <c r="Q16" s="2" t="s">
        <v>26</v>
      </c>
      <c r="R16" s="2"/>
      <c r="S16" s="2"/>
      <c r="T16" s="2"/>
      <c r="U16" s="2"/>
      <c r="V16" s="2"/>
      <c r="W16" s="2"/>
      <c r="X16" s="2"/>
      <c r="Y16" s="2"/>
      <c r="Z16" s="2"/>
    </row>
    <row r="17" spans="1:26" ht="12.75" customHeight="1" x14ac:dyDescent="0.25">
      <c r="A17" s="2" t="s">
        <v>34</v>
      </c>
      <c r="B17" s="19">
        <v>7.6936521530151367</v>
      </c>
      <c r="C17" s="21">
        <v>0.34415584802627563</v>
      </c>
      <c r="D17" s="21">
        <v>0.8623853325843811</v>
      </c>
      <c r="E17" s="21">
        <v>0.7678571343421936</v>
      </c>
      <c r="F17" s="21">
        <v>0.74107140302658081</v>
      </c>
      <c r="G17" s="21">
        <v>0.77477478981018066</v>
      </c>
      <c r="H17" s="21">
        <v>0.9375</v>
      </c>
      <c r="I17" s="21">
        <v>0.77876108884811401</v>
      </c>
      <c r="J17" s="21">
        <v>0.90588235855102539</v>
      </c>
      <c r="K17" s="21">
        <v>0.86046510934829712</v>
      </c>
      <c r="L17" s="21">
        <v>0.88372093439102173</v>
      </c>
      <c r="M17" s="21">
        <v>0.28571429848670959</v>
      </c>
      <c r="N17" s="21">
        <v>7.7419355511665344E-2</v>
      </c>
      <c r="O17" s="21">
        <v>0.1195652186870575</v>
      </c>
      <c r="P17" s="22">
        <v>16</v>
      </c>
      <c r="Q17" s="2" t="s">
        <v>35</v>
      </c>
      <c r="R17" s="2"/>
      <c r="S17" s="2"/>
      <c r="T17" s="2"/>
      <c r="U17" s="2"/>
      <c r="V17" s="2"/>
      <c r="W17" s="2"/>
      <c r="X17" s="2"/>
      <c r="Y17" s="2"/>
      <c r="Z17" s="2"/>
    </row>
    <row r="18" spans="1:26" ht="12.75" customHeight="1" x14ac:dyDescent="0.25">
      <c r="A18" s="2" t="s">
        <v>36</v>
      </c>
      <c r="B18" s="19">
        <v>7.1947650909423828</v>
      </c>
      <c r="C18" s="21">
        <v>0.30000001192092896</v>
      </c>
      <c r="D18" s="21">
        <v>0.85915493965148926</v>
      </c>
      <c r="E18" s="21">
        <v>0.76811593770980835</v>
      </c>
      <c r="F18" s="21">
        <v>0.81428569555282593</v>
      </c>
      <c r="G18" s="21">
        <v>0.80882352590560913</v>
      </c>
      <c r="H18" s="21">
        <v>0.98571425676345825</v>
      </c>
      <c r="I18" s="21">
        <v>0.81944441795349121</v>
      </c>
      <c r="J18" s="21">
        <v>0.75409835577011108</v>
      </c>
      <c r="K18" s="21">
        <v>0.75409835577011108</v>
      </c>
      <c r="L18" s="21">
        <v>0.73770493268966675</v>
      </c>
      <c r="M18" s="21">
        <v>0.40909090638160706</v>
      </c>
      <c r="N18" s="21">
        <v>4.8076923936605453E-2</v>
      </c>
      <c r="O18" s="21">
        <v>0.1428571492433548</v>
      </c>
      <c r="P18" s="22">
        <v>11</v>
      </c>
      <c r="Q18" s="2" t="s">
        <v>35</v>
      </c>
      <c r="R18" s="2"/>
      <c r="S18" s="2"/>
      <c r="T18" s="2"/>
      <c r="U18" s="2"/>
      <c r="V18" s="2"/>
      <c r="W18" s="2"/>
      <c r="X18" s="2"/>
      <c r="Y18" s="2"/>
      <c r="Z18" s="2"/>
    </row>
    <row r="19" spans="1:26" ht="12.75" customHeight="1" x14ac:dyDescent="0.25">
      <c r="A19" s="2" t="s">
        <v>37</v>
      </c>
      <c r="B19" s="19">
        <v>7.5952329635620117</v>
      </c>
      <c r="C19" s="21">
        <v>0.27067670226097107</v>
      </c>
      <c r="D19" s="21">
        <v>0.82242989540100098</v>
      </c>
      <c r="E19" s="21">
        <v>0.76415091753005981</v>
      </c>
      <c r="F19" s="21">
        <v>0.76415091753005981</v>
      </c>
      <c r="G19" s="21">
        <v>0.86666667461395264</v>
      </c>
      <c r="H19" s="21">
        <v>0.95327103137969971</v>
      </c>
      <c r="I19" s="21">
        <v>0.82857143878936768</v>
      </c>
      <c r="J19" s="21">
        <v>0.81578946113586426</v>
      </c>
      <c r="K19" s="21">
        <v>0.82894736528396606</v>
      </c>
      <c r="L19" s="21">
        <v>0.84210526943206787</v>
      </c>
      <c r="M19" s="21">
        <v>0.23999999463558197</v>
      </c>
      <c r="N19" s="21">
        <v>7.4074074625968933E-2</v>
      </c>
      <c r="O19" s="21">
        <v>0.125</v>
      </c>
      <c r="P19" s="22">
        <v>24</v>
      </c>
      <c r="Q19" s="2" t="s">
        <v>18</v>
      </c>
      <c r="R19" s="2"/>
      <c r="S19" s="2"/>
      <c r="T19" s="2"/>
      <c r="U19" s="2"/>
      <c r="V19" s="2"/>
      <c r="W19" s="2"/>
      <c r="X19" s="2"/>
      <c r="Y19" s="2"/>
      <c r="Z19" s="2"/>
    </row>
    <row r="20" spans="1:26" ht="12.75" customHeight="1" x14ac:dyDescent="0.25">
      <c r="A20" s="2" t="s">
        <v>38</v>
      </c>
      <c r="B20" s="19">
        <v>7.7522602081298828</v>
      </c>
      <c r="C20" s="21">
        <v>0.28220859169960022</v>
      </c>
      <c r="D20" s="21">
        <v>0.83088237047195435</v>
      </c>
      <c r="E20" s="21">
        <v>0.75182479619979858</v>
      </c>
      <c r="F20" s="21">
        <v>0.78260868787765503</v>
      </c>
      <c r="G20" s="21">
        <v>0.77536231279373169</v>
      </c>
      <c r="H20" s="21">
        <v>0.875</v>
      </c>
      <c r="I20" s="21">
        <v>0.83941608667373657</v>
      </c>
      <c r="J20" s="21">
        <v>0.82795697450637817</v>
      </c>
      <c r="K20" s="21">
        <v>0.7849462628364563</v>
      </c>
      <c r="L20" s="21">
        <v>0.82795697450637817</v>
      </c>
      <c r="M20" s="21">
        <v>0.25</v>
      </c>
      <c r="N20" s="21">
        <v>3.6363635212182999E-2</v>
      </c>
      <c r="O20" s="21">
        <v>7.9365082085132599E-2</v>
      </c>
      <c r="P20" s="22">
        <v>7</v>
      </c>
      <c r="Q20" s="2" t="s">
        <v>24</v>
      </c>
      <c r="R20" s="2"/>
      <c r="S20" s="2"/>
      <c r="T20" s="2"/>
      <c r="U20" s="2"/>
      <c r="V20" s="2"/>
      <c r="W20" s="2"/>
      <c r="X20" s="2"/>
      <c r="Y20" s="2"/>
      <c r="Z20" s="2"/>
    </row>
    <row r="21" spans="1:26" ht="12.75" customHeight="1" x14ac:dyDescent="0.25">
      <c r="A21" s="2" t="s">
        <v>39</v>
      </c>
      <c r="B21" s="19">
        <v>8.0975666046142578</v>
      </c>
      <c r="C21" s="21">
        <v>0.31623932719230652</v>
      </c>
      <c r="D21" s="21">
        <v>0.86597937345504761</v>
      </c>
      <c r="E21" s="21">
        <v>0.90322577953338623</v>
      </c>
      <c r="F21" s="21">
        <v>0.88659793138504028</v>
      </c>
      <c r="G21" s="21">
        <v>0.82105261087417603</v>
      </c>
      <c r="H21" s="21">
        <v>0.90322577953338623</v>
      </c>
      <c r="I21" s="21">
        <v>0.83333331346511841</v>
      </c>
      <c r="J21" s="21">
        <v>0.86666667461395264</v>
      </c>
      <c r="K21" s="21">
        <v>0.88157892227172852</v>
      </c>
      <c r="L21" s="21">
        <v>0.86842107772827148</v>
      </c>
      <c r="M21" s="21">
        <v>0.30000001192092896</v>
      </c>
      <c r="N21" s="21">
        <v>9.3220338225364685E-2</v>
      </c>
      <c r="O21" s="21">
        <v>3.1746033579111099E-2</v>
      </c>
      <c r="P21" s="22">
        <v>8</v>
      </c>
      <c r="Q21" s="2" t="s">
        <v>15</v>
      </c>
      <c r="R21" s="2"/>
      <c r="S21" s="2"/>
      <c r="T21" s="2"/>
      <c r="U21" s="2"/>
      <c r="V21" s="2"/>
      <c r="W21" s="2"/>
      <c r="X21" s="2"/>
      <c r="Y21" s="2"/>
      <c r="Z21" s="2"/>
    </row>
    <row r="22" spans="1:26" ht="12.75" customHeight="1" x14ac:dyDescent="0.25">
      <c r="A22" s="2" t="s">
        <v>40</v>
      </c>
      <c r="B22" s="19">
        <v>6.357480525970459</v>
      </c>
      <c r="C22" s="21">
        <v>0.34710744023323059</v>
      </c>
      <c r="D22" s="21">
        <v>0.70588237047195435</v>
      </c>
      <c r="E22" s="21">
        <v>0.67647057771682739</v>
      </c>
      <c r="F22" s="21">
        <v>0.68316829204559326</v>
      </c>
      <c r="G22" s="21">
        <v>0.66336631774902344</v>
      </c>
      <c r="H22" s="21">
        <v>0.9207921028137207</v>
      </c>
      <c r="I22" s="21">
        <v>0.69607841968536377</v>
      </c>
      <c r="J22" s="21">
        <v>0.61728394031524658</v>
      </c>
      <c r="K22" s="21">
        <v>0.61728394031524658</v>
      </c>
      <c r="L22" s="21">
        <v>0.60493826866149902</v>
      </c>
      <c r="M22" s="21">
        <v>0.23529411852359772</v>
      </c>
      <c r="N22" s="21">
        <v>3.2786883413791656E-2</v>
      </c>
      <c r="O22" s="21">
        <v>0.1111111119389534</v>
      </c>
      <c r="P22" s="22">
        <v>8</v>
      </c>
      <c r="Q22" s="2" t="s">
        <v>35</v>
      </c>
      <c r="R22" s="2"/>
      <c r="S22" s="2"/>
      <c r="T22" s="2"/>
      <c r="U22" s="2"/>
      <c r="V22" s="2"/>
      <c r="W22" s="2"/>
      <c r="X22" s="2"/>
      <c r="Y22" s="2"/>
      <c r="Z22" s="2"/>
    </row>
    <row r="23" spans="1:26" ht="12.75" customHeight="1" x14ac:dyDescent="0.25">
      <c r="A23" s="2" t="s">
        <v>76</v>
      </c>
      <c r="B23" s="19">
        <v>7.5538339614868164</v>
      </c>
      <c r="C23" s="21">
        <v>0.17128463089466095</v>
      </c>
      <c r="D23" s="21">
        <v>0.8777429461479187</v>
      </c>
      <c r="E23" s="21">
        <v>0.84591192007064819</v>
      </c>
      <c r="F23" s="21">
        <v>0.85893416404724121</v>
      </c>
      <c r="G23" s="21">
        <v>0.83911669254302979</v>
      </c>
      <c r="H23" s="21">
        <v>0.87697160243988037</v>
      </c>
      <c r="I23" s="21">
        <v>0.87066245079040527</v>
      </c>
      <c r="J23" s="21">
        <v>0.63681590557098389</v>
      </c>
      <c r="K23" s="21">
        <v>0.62814068794250488</v>
      </c>
      <c r="L23" s="21">
        <v>0.63316583633422852</v>
      </c>
      <c r="M23" s="21">
        <v>8.8235296308994293E-2</v>
      </c>
      <c r="N23" s="21">
        <v>2.5125628337264061E-2</v>
      </c>
      <c r="O23" s="21">
        <v>0.10810811072587967</v>
      </c>
      <c r="P23" s="22">
        <v>8</v>
      </c>
      <c r="Q23" s="2" t="s">
        <v>24</v>
      </c>
      <c r="R23" s="2"/>
      <c r="S23" s="2"/>
      <c r="T23" s="2"/>
      <c r="U23" s="2"/>
      <c r="V23" s="2"/>
      <c r="W23" s="2"/>
      <c r="X23" s="2"/>
      <c r="Y23" s="2"/>
      <c r="Z23" s="2"/>
    </row>
    <row r="24" spans="1:26" ht="12.75" customHeight="1" x14ac:dyDescent="0.25">
      <c r="A24" s="2" t="s">
        <v>41</v>
      </c>
      <c r="B24" s="19">
        <v>7.3446187973022461</v>
      </c>
      <c r="C24" s="21">
        <v>0.17475728690624237</v>
      </c>
      <c r="D24" s="21">
        <v>0.82432430982589722</v>
      </c>
      <c r="E24" s="21">
        <v>0.73684209585189819</v>
      </c>
      <c r="F24" s="21">
        <v>0.8399999737739563</v>
      </c>
      <c r="G24" s="21">
        <v>0.76623374223709106</v>
      </c>
      <c r="H24" s="21">
        <v>0.91780823469161987</v>
      </c>
      <c r="I24" s="21">
        <v>0.81818181276321411</v>
      </c>
      <c r="J24" s="21">
        <v>0.80000001192092896</v>
      </c>
      <c r="K24" s="21">
        <v>0.80392158031463623</v>
      </c>
      <c r="L24" s="21">
        <v>0.78431373834609985</v>
      </c>
      <c r="M24" s="21">
        <v>0.38461539149284363</v>
      </c>
      <c r="N24" s="21">
        <v>3.8834951817989349E-2</v>
      </c>
      <c r="O24" s="21">
        <v>0.1428571492433548</v>
      </c>
      <c r="P24" s="22">
        <v>24</v>
      </c>
      <c r="Q24" s="2" t="s">
        <v>18</v>
      </c>
      <c r="R24" s="2"/>
      <c r="S24" s="2"/>
      <c r="T24" s="2"/>
      <c r="U24" s="2"/>
      <c r="V24" s="2"/>
      <c r="W24" s="2"/>
      <c r="X24" s="2"/>
      <c r="Y24" s="2"/>
      <c r="Z24" s="2"/>
    </row>
    <row r="25" spans="1:26" ht="12.75" customHeight="1" x14ac:dyDescent="0.25">
      <c r="A25" s="2" t="s">
        <v>42</v>
      </c>
      <c r="B25" s="19">
        <v>6.1861944198608398</v>
      </c>
      <c r="C25" s="21">
        <v>0.29807692766189575</v>
      </c>
      <c r="D25" s="21">
        <v>0.86138612031936646</v>
      </c>
      <c r="E25" s="21">
        <v>0.82352942228317261</v>
      </c>
      <c r="F25" s="21">
        <v>0.83168315887451172</v>
      </c>
      <c r="G25" s="21">
        <v>0.82524269819259644</v>
      </c>
      <c r="H25" s="21">
        <v>0.96039605140686035</v>
      </c>
      <c r="I25" s="21">
        <v>0.87999999523162842</v>
      </c>
      <c r="J25" s="21">
        <v>0.55555558204650879</v>
      </c>
      <c r="K25" s="21">
        <v>0.55555558204650879</v>
      </c>
      <c r="L25" s="21">
        <v>0.53703701496124268</v>
      </c>
      <c r="M25" s="21">
        <v>0.4375</v>
      </c>
      <c r="N25" s="21">
        <v>4.2735043913125992E-2</v>
      </c>
      <c r="O25" s="21">
        <v>0.1388888955116272</v>
      </c>
      <c r="P25" s="22">
        <v>48</v>
      </c>
      <c r="Q25" s="2" t="s">
        <v>21</v>
      </c>
      <c r="R25" s="2"/>
      <c r="S25" s="2"/>
      <c r="T25" s="2"/>
      <c r="U25" s="2"/>
      <c r="V25" s="2"/>
      <c r="W25" s="2"/>
      <c r="X25" s="2"/>
      <c r="Y25" s="2"/>
      <c r="Z25" s="2"/>
    </row>
    <row r="26" spans="1:26" ht="12.75" customHeight="1" x14ac:dyDescent="0.25">
      <c r="A26" s="2" t="s">
        <v>43</v>
      </c>
      <c r="B26" s="19">
        <v>6.7016468048095703</v>
      </c>
      <c r="C26" s="21">
        <v>0.23723722994327545</v>
      </c>
      <c r="D26" s="21">
        <v>0.80069929361343384</v>
      </c>
      <c r="E26" s="21">
        <v>0.7464788556098938</v>
      </c>
      <c r="F26" s="21">
        <v>0.78873240947723389</v>
      </c>
      <c r="G26" s="21">
        <v>0.7773851752281189</v>
      </c>
      <c r="H26" s="21">
        <v>0.94736844301223755</v>
      </c>
      <c r="I26" s="21">
        <v>0.80985915660858154</v>
      </c>
      <c r="J26" s="21">
        <v>0.56521737575531006</v>
      </c>
      <c r="K26" s="21">
        <v>0.54891306161880493</v>
      </c>
      <c r="L26" s="21">
        <v>0.54891306161880493</v>
      </c>
      <c r="M26" s="21">
        <v>0.17777778208255768</v>
      </c>
      <c r="N26" s="21">
        <v>2.3391813039779663E-2</v>
      </c>
      <c r="O26" s="21">
        <v>7.4766352772712708E-2</v>
      </c>
      <c r="P26" s="22">
        <v>24</v>
      </c>
      <c r="Q26" s="2" t="s">
        <v>21</v>
      </c>
      <c r="R26" s="2"/>
      <c r="S26" s="2"/>
      <c r="T26" s="2"/>
      <c r="U26" s="2"/>
      <c r="V26" s="2"/>
      <c r="W26" s="2"/>
      <c r="X26" s="2"/>
      <c r="Y26" s="2"/>
      <c r="Z26" s="2"/>
    </row>
    <row r="27" spans="1:26" ht="12.75" customHeight="1" x14ac:dyDescent="0.25">
      <c r="A27" s="2" t="s">
        <v>44</v>
      </c>
      <c r="B27" s="19">
        <v>7.256009578704834</v>
      </c>
      <c r="C27" s="21">
        <v>0.26190477609634399</v>
      </c>
      <c r="D27" s="21">
        <v>0.75294119119644165</v>
      </c>
      <c r="E27" s="21">
        <v>0.729411780834198</v>
      </c>
      <c r="F27" s="21">
        <v>0.7976190447807312</v>
      </c>
      <c r="G27" s="21">
        <v>0.65116280317306519</v>
      </c>
      <c r="H27" s="21">
        <v>0.82142859697341919</v>
      </c>
      <c r="I27" s="21">
        <v>0.82352942228317261</v>
      </c>
      <c r="J27" s="21">
        <v>0.796875</v>
      </c>
      <c r="K27" s="21">
        <v>0.8153846263885498</v>
      </c>
      <c r="L27" s="21">
        <v>0.80000001192092896</v>
      </c>
      <c r="M27" s="21">
        <v>0.1428571492433548</v>
      </c>
      <c r="N27" s="21">
        <v>4.6875E-2</v>
      </c>
      <c r="O27" s="21">
        <v>8.6206898093223572E-2</v>
      </c>
      <c r="P27" s="22">
        <v>48</v>
      </c>
      <c r="Q27" s="2" t="s">
        <v>26</v>
      </c>
      <c r="R27" s="2"/>
      <c r="S27" s="2"/>
      <c r="T27" s="2"/>
      <c r="U27" s="2"/>
      <c r="V27" s="2"/>
      <c r="W27" s="2"/>
      <c r="X27" s="2"/>
      <c r="Y27" s="2"/>
      <c r="Z27" s="2"/>
    </row>
    <row r="28" spans="1:26" ht="12.75" customHeight="1" x14ac:dyDescent="0.25">
      <c r="A28" s="2" t="s">
        <v>45</v>
      </c>
      <c r="B28" s="19">
        <v>7.6452417373657227</v>
      </c>
      <c r="C28" s="21">
        <v>0.2023809552192688</v>
      </c>
      <c r="D28" s="21">
        <v>0.83076924085617065</v>
      </c>
      <c r="E28" s="21">
        <v>0.73076921701431274</v>
      </c>
      <c r="F28" s="21">
        <v>0.8217054009437561</v>
      </c>
      <c r="G28" s="21">
        <v>0.84496122598648071</v>
      </c>
      <c r="H28" s="21">
        <v>0.8984375</v>
      </c>
      <c r="I28" s="21">
        <v>0.83846151828765869</v>
      </c>
      <c r="J28" s="21">
        <v>0.82666665315628052</v>
      </c>
      <c r="K28" s="21">
        <v>0.81081080436706543</v>
      </c>
      <c r="L28" s="21">
        <v>0.80821919441223145</v>
      </c>
      <c r="M28" s="21">
        <v>0.11538461595773697</v>
      </c>
      <c r="N28" s="21">
        <v>3.5294119268655777E-2</v>
      </c>
      <c r="O28" s="21">
        <v>0.1320754736661911</v>
      </c>
      <c r="P28" s="22">
        <v>48</v>
      </c>
      <c r="Q28" s="2" t="s">
        <v>21</v>
      </c>
      <c r="R28" s="2"/>
      <c r="S28" s="2"/>
      <c r="T28" s="2"/>
      <c r="U28" s="2"/>
      <c r="V28" s="2"/>
      <c r="W28" s="2"/>
      <c r="X28" s="2"/>
      <c r="Y28" s="2"/>
      <c r="Z28" s="2"/>
    </row>
    <row r="29" spans="1:26" ht="12.75" customHeight="1" x14ac:dyDescent="0.25">
      <c r="A29" s="2" t="s">
        <v>46</v>
      </c>
      <c r="B29" s="19">
        <v>8.1794862747192383</v>
      </c>
      <c r="C29" s="21">
        <v>0.20588235557079315</v>
      </c>
      <c r="D29" s="21">
        <v>0.88636362552642822</v>
      </c>
      <c r="E29" s="21">
        <v>0.79259258508682251</v>
      </c>
      <c r="F29" s="21">
        <v>0.753731369972229</v>
      </c>
      <c r="G29" s="21">
        <v>0.78358209133148193</v>
      </c>
      <c r="H29" s="21">
        <v>0.89552241563796997</v>
      </c>
      <c r="I29" s="21">
        <v>0.84962403774261475</v>
      </c>
      <c r="J29" s="21">
        <v>0.82894736528396606</v>
      </c>
      <c r="K29" s="21">
        <v>0.84210526943206787</v>
      </c>
      <c r="L29" s="21">
        <v>0.84210526943206787</v>
      </c>
      <c r="M29" s="21">
        <v>0.15000000596046448</v>
      </c>
      <c r="N29" s="21">
        <v>3.4482758492231369E-2</v>
      </c>
      <c r="O29" s="21">
        <v>4.5454546809196472E-2</v>
      </c>
      <c r="P29" s="22">
        <v>8</v>
      </c>
      <c r="Q29" s="2" t="s">
        <v>21</v>
      </c>
      <c r="R29" s="2"/>
      <c r="S29" s="2"/>
      <c r="T29" s="2"/>
      <c r="U29" s="2"/>
      <c r="V29" s="2"/>
      <c r="W29" s="2"/>
      <c r="X29" s="2"/>
      <c r="Y29" s="2"/>
      <c r="Z29" s="2"/>
    </row>
    <row r="30" spans="1:26" ht="12.75" customHeight="1" x14ac:dyDescent="0.25">
      <c r="A30" s="2" t="s">
        <v>47</v>
      </c>
      <c r="B30" s="19">
        <v>8.7928590774536133</v>
      </c>
      <c r="C30" s="21">
        <v>0.19387754797935486</v>
      </c>
      <c r="D30" s="21">
        <v>0.88372093439102173</v>
      </c>
      <c r="E30" s="21">
        <v>0.86046510934829712</v>
      </c>
      <c r="F30" s="21">
        <v>0.86046510934829712</v>
      </c>
      <c r="G30" s="21">
        <v>0.87209302186965942</v>
      </c>
      <c r="H30" s="21">
        <v>0.90588235855102539</v>
      </c>
      <c r="I30" s="21">
        <v>0.7976190447807312</v>
      </c>
      <c r="J30" s="21">
        <v>0.92592591047286987</v>
      </c>
      <c r="K30" s="21">
        <v>0.90740740299224854</v>
      </c>
      <c r="L30" s="21">
        <v>0.92592591047286987</v>
      </c>
      <c r="M30" s="21">
        <v>6.6666670143604279E-2</v>
      </c>
      <c r="N30" s="21">
        <v>3.0303031206130981E-2</v>
      </c>
      <c r="O30" s="21">
        <v>4.444444552063942E-2</v>
      </c>
      <c r="P30" s="22">
        <v>8</v>
      </c>
      <c r="Q30" s="2" t="s">
        <v>15</v>
      </c>
      <c r="R30" s="2"/>
      <c r="S30" s="2"/>
      <c r="T30" s="2"/>
      <c r="U30" s="2"/>
      <c r="V30" s="2"/>
      <c r="W30" s="2"/>
      <c r="X30" s="2"/>
      <c r="Y30" s="2"/>
      <c r="Z30" s="2"/>
    </row>
    <row r="31" spans="1:26" ht="12.75" customHeight="1" x14ac:dyDescent="0.25">
      <c r="A31" s="2" t="s">
        <v>48</v>
      </c>
      <c r="B31" s="19">
        <v>6.8130707740783691</v>
      </c>
      <c r="C31" s="21">
        <v>0.1553398072719574</v>
      </c>
      <c r="D31" s="21">
        <v>0.80000001192092896</v>
      </c>
      <c r="E31" s="21">
        <v>0.80487805604934692</v>
      </c>
      <c r="F31" s="21">
        <v>0.85185188055038452</v>
      </c>
      <c r="G31" s="21">
        <v>0.792682945728302</v>
      </c>
      <c r="H31" s="21">
        <v>0.86585366725921631</v>
      </c>
      <c r="I31" s="21">
        <v>0.80246913433074951</v>
      </c>
      <c r="J31" s="21">
        <v>0.58730161190032959</v>
      </c>
      <c r="K31" s="21">
        <v>0.58730161190032959</v>
      </c>
      <c r="L31" s="21">
        <v>0.58064514398574829</v>
      </c>
      <c r="M31" s="21">
        <v>2.777777798473835E-2</v>
      </c>
      <c r="N31" s="21">
        <v>0.12380952388048172</v>
      </c>
      <c r="O31" s="21">
        <v>8.9285716414451599E-2</v>
      </c>
      <c r="P31" s="22">
        <v>40</v>
      </c>
      <c r="Q31" s="2" t="s">
        <v>18</v>
      </c>
      <c r="R31" s="2"/>
      <c r="S31" s="2"/>
      <c r="T31" s="2"/>
      <c r="U31" s="2"/>
      <c r="V31" s="2"/>
      <c r="W31" s="2"/>
      <c r="X31" s="2"/>
      <c r="Y31" s="2"/>
      <c r="Z31" s="2"/>
    </row>
    <row r="32" spans="1:26" ht="12.75" customHeight="1" x14ac:dyDescent="0.25">
      <c r="A32" s="2" t="s">
        <v>49</v>
      </c>
      <c r="B32" s="19">
        <v>7.8983621597290039</v>
      </c>
      <c r="C32" s="21">
        <v>0.25925925374031067</v>
      </c>
      <c r="D32" s="21">
        <v>0.80000001192092896</v>
      </c>
      <c r="E32" s="21">
        <v>0.77678573131561279</v>
      </c>
      <c r="F32" s="21">
        <v>0.77678573131561279</v>
      </c>
      <c r="G32" s="21">
        <v>0.76363635063171387</v>
      </c>
      <c r="H32" s="21">
        <v>0.8545454740524292</v>
      </c>
      <c r="I32" s="21">
        <v>0.79279279708862305</v>
      </c>
      <c r="J32" s="21">
        <v>0.8730158805847168</v>
      </c>
      <c r="K32" s="21">
        <v>0.875</v>
      </c>
      <c r="L32" s="21">
        <v>0.8730158805847168</v>
      </c>
      <c r="M32" s="21">
        <v>2.380952425301075E-2</v>
      </c>
      <c r="N32" s="21">
        <v>0.1560283750295639</v>
      </c>
      <c r="O32" s="21">
        <v>8.0645158886909485E-2</v>
      </c>
      <c r="P32" s="22">
        <v>20</v>
      </c>
      <c r="Q32" s="2" t="s">
        <v>21</v>
      </c>
      <c r="R32" s="2"/>
      <c r="S32" s="2"/>
      <c r="T32" s="2"/>
      <c r="U32" s="2"/>
      <c r="V32" s="2"/>
      <c r="W32" s="2"/>
      <c r="X32" s="2"/>
      <c r="Y32" s="2"/>
      <c r="Z32" s="2"/>
    </row>
    <row r="33" spans="1:26" ht="12.75" customHeight="1" x14ac:dyDescent="0.25">
      <c r="A33" s="2" t="s">
        <v>50</v>
      </c>
      <c r="B33" s="19">
        <v>7.4143424034118652</v>
      </c>
      <c r="C33" s="21">
        <v>0.2063492089509964</v>
      </c>
      <c r="D33" s="21">
        <v>0.8571428656578064</v>
      </c>
      <c r="E33" s="21">
        <v>0.75238096714019775</v>
      </c>
      <c r="F33" s="21">
        <v>0.79047620296478271</v>
      </c>
      <c r="G33" s="21">
        <v>0.71428573131561279</v>
      </c>
      <c r="H33" s="21">
        <v>0.86666667461395264</v>
      </c>
      <c r="I33" s="21">
        <v>0.86666667461395264</v>
      </c>
      <c r="J33" s="21">
        <v>0.85057473182678223</v>
      </c>
      <c r="K33" s="21">
        <v>0.85057473182678223</v>
      </c>
      <c r="L33" s="21">
        <v>0.85057473182678223</v>
      </c>
      <c r="M33" s="21">
        <v>0.3888888955116272</v>
      </c>
      <c r="N33" s="21">
        <v>3.8461539894342422E-2</v>
      </c>
      <c r="O33" s="21">
        <v>9.0909093618392944E-2</v>
      </c>
      <c r="P33" s="22">
        <v>48</v>
      </c>
      <c r="Q33" s="2" t="s">
        <v>26</v>
      </c>
      <c r="R33" s="2"/>
      <c r="S33" s="2"/>
      <c r="T33" s="2"/>
      <c r="U33" s="2"/>
      <c r="V33" s="2"/>
      <c r="W33" s="2"/>
      <c r="X33" s="2"/>
      <c r="Y33" s="2"/>
      <c r="Z33" s="2"/>
    </row>
    <row r="34" spans="1:26" ht="12.75" customHeight="1" x14ac:dyDescent="0.25">
      <c r="A34" s="2" t="s">
        <v>51</v>
      </c>
      <c r="B34" s="19">
        <v>7.3940520286560059</v>
      </c>
      <c r="C34" s="21">
        <v>0.2083333283662796</v>
      </c>
      <c r="D34" s="21">
        <v>0.73255813121795654</v>
      </c>
      <c r="E34" s="21">
        <v>0.69767439365386963</v>
      </c>
      <c r="F34" s="21">
        <v>0.59302324056625366</v>
      </c>
      <c r="G34" s="21">
        <v>0.73255813121795654</v>
      </c>
      <c r="H34" s="21">
        <v>0.80232560634613037</v>
      </c>
      <c r="I34" s="21">
        <v>0.62790697813034058</v>
      </c>
      <c r="J34" s="21">
        <v>0.8163265585899353</v>
      </c>
      <c r="K34" s="21">
        <v>0.8163265585899353</v>
      </c>
      <c r="L34" s="21">
        <v>0.8163265585899353</v>
      </c>
      <c r="M34" s="21">
        <v>9.0909093618392944E-2</v>
      </c>
      <c r="N34" s="21">
        <v>2.500000037252903E-2</v>
      </c>
      <c r="O34" s="21">
        <v>4.5454546809196472E-2</v>
      </c>
      <c r="P34" s="22">
        <v>24</v>
      </c>
      <c r="Q34" s="2" t="s">
        <v>15</v>
      </c>
      <c r="R34" s="2"/>
      <c r="S34" s="2"/>
      <c r="T34" s="2"/>
      <c r="U34" s="2"/>
      <c r="V34" s="2"/>
      <c r="W34" s="2"/>
      <c r="X34" s="2"/>
      <c r="Y34" s="2"/>
      <c r="Z34" s="2"/>
    </row>
    <row r="35" spans="1:26" ht="12.75" customHeight="1" x14ac:dyDescent="0.25">
      <c r="A35" s="2" t="s">
        <v>52</v>
      </c>
      <c r="B35" s="19">
        <v>7.1693639755249023</v>
      </c>
      <c r="C35" s="21">
        <v>0.26262626051902771</v>
      </c>
      <c r="D35" s="21">
        <v>0.86046510934829712</v>
      </c>
      <c r="E35" s="21">
        <v>0.77906978130340576</v>
      </c>
      <c r="F35" s="21">
        <v>0.76744186878204346</v>
      </c>
      <c r="G35" s="21">
        <v>0.75581395626068115</v>
      </c>
      <c r="H35" s="21">
        <v>0.90697675943374634</v>
      </c>
      <c r="I35" s="21">
        <v>0.83720928430557251</v>
      </c>
      <c r="J35" s="21">
        <v>0.85483872890472412</v>
      </c>
      <c r="K35" s="21">
        <v>0.80645161867141724</v>
      </c>
      <c r="L35" s="21">
        <v>0.83870965242385864</v>
      </c>
      <c r="M35" s="21">
        <v>0.24242424964904785</v>
      </c>
      <c r="N35" s="21">
        <v>0.18811881542205811</v>
      </c>
      <c r="O35" s="21">
        <v>0.15789473056793213</v>
      </c>
      <c r="P35" s="22">
        <v>48</v>
      </c>
      <c r="Q35" s="2" t="s">
        <v>35</v>
      </c>
      <c r="R35" s="2"/>
      <c r="S35" s="2"/>
      <c r="T35" s="2"/>
      <c r="U35" s="2"/>
      <c r="V35" s="2"/>
      <c r="W35" s="2"/>
      <c r="X35" s="2"/>
      <c r="Y35" s="2"/>
      <c r="Z35" s="2"/>
    </row>
    <row r="36" spans="1:26" ht="12.75" customHeight="1" x14ac:dyDescent="0.25">
      <c r="A36" s="2" t="s">
        <v>53</v>
      </c>
      <c r="B36" s="19">
        <v>7.3037919998168945</v>
      </c>
      <c r="C36" s="21">
        <v>0.25471699237823486</v>
      </c>
      <c r="D36" s="21">
        <v>0.84883719682693481</v>
      </c>
      <c r="E36" s="21">
        <v>0.77906978130340576</v>
      </c>
      <c r="F36" s="21">
        <v>0.78823530673980713</v>
      </c>
      <c r="G36" s="21">
        <v>0.81176471710205078</v>
      </c>
      <c r="H36" s="21">
        <v>0.95348834991455078</v>
      </c>
      <c r="I36" s="21">
        <v>0.83720928430557251</v>
      </c>
      <c r="J36" s="21">
        <v>0.74545454978942871</v>
      </c>
      <c r="K36" s="21">
        <v>0.74074071645736694</v>
      </c>
      <c r="L36" s="21">
        <v>0.72222220897674561</v>
      </c>
      <c r="M36" s="21">
        <v>0.2083333283662796</v>
      </c>
      <c r="N36" s="21">
        <v>0.12264151126146317</v>
      </c>
      <c r="O36" s="21">
        <v>9.375E-2</v>
      </c>
      <c r="P36" s="22">
        <v>24</v>
      </c>
      <c r="Q36" s="2" t="s">
        <v>18</v>
      </c>
      <c r="R36" s="2"/>
      <c r="S36" s="2"/>
      <c r="T36" s="2"/>
      <c r="U36" s="2"/>
      <c r="V36" s="2"/>
      <c r="W36" s="2"/>
      <c r="X36" s="2"/>
      <c r="Y36" s="2"/>
      <c r="Z36" s="2"/>
    </row>
    <row r="37" spans="1:26" ht="12.75" customHeight="1" x14ac:dyDescent="0.25">
      <c r="A37" s="2" t="s">
        <v>56</v>
      </c>
      <c r="B37" s="19">
        <v>7.7474684715270996</v>
      </c>
      <c r="C37" s="21">
        <v>0.30069929361343384</v>
      </c>
      <c r="D37" s="21">
        <v>0.8403361439704895</v>
      </c>
      <c r="E37" s="21">
        <v>0.81355929374694824</v>
      </c>
      <c r="F37" s="21">
        <v>0.73728811740875244</v>
      </c>
      <c r="G37" s="21">
        <v>0.78151261806488037</v>
      </c>
      <c r="H37" s="21">
        <v>0.93965518474578857</v>
      </c>
      <c r="I37" s="21">
        <v>0.75</v>
      </c>
      <c r="J37" s="21">
        <v>0.83823531866073608</v>
      </c>
      <c r="K37" s="21">
        <v>0.86567163467407227</v>
      </c>
      <c r="L37" s="21">
        <v>0.86567163467407227</v>
      </c>
      <c r="M37" s="21">
        <v>0.18181818723678589</v>
      </c>
      <c r="N37" s="21">
        <v>8.2191780209541321E-2</v>
      </c>
      <c r="O37" s="21">
        <v>4.6153847128152847E-2</v>
      </c>
      <c r="P37" s="22">
        <v>24</v>
      </c>
      <c r="Q37" s="2" t="s">
        <v>35</v>
      </c>
      <c r="R37" s="2"/>
      <c r="S37" s="2"/>
      <c r="T37" s="2"/>
      <c r="U37" s="2"/>
      <c r="V37" s="2"/>
      <c r="W37" s="2"/>
      <c r="X37" s="2"/>
      <c r="Y37" s="2"/>
      <c r="Z37" s="2"/>
    </row>
    <row r="38" spans="1:26" ht="12.75" customHeight="1" x14ac:dyDescent="0.25">
      <c r="A38" s="2" t="s">
        <v>54</v>
      </c>
      <c r="B38" s="19">
        <v>7.0670156478881836</v>
      </c>
      <c r="C38" s="21">
        <v>0.36220473051071167</v>
      </c>
      <c r="D38" s="21">
        <v>0.92380952835083008</v>
      </c>
      <c r="E38" s="21">
        <v>0.73584908246994019</v>
      </c>
      <c r="F38" s="21">
        <v>0.74038463830947876</v>
      </c>
      <c r="G38" s="21">
        <v>0.76190477609634399</v>
      </c>
      <c r="H38" s="21">
        <v>0.91346156597137451</v>
      </c>
      <c r="I38" s="21">
        <v>0.82857143878936768</v>
      </c>
      <c r="J38" s="21">
        <v>0.70129871368408203</v>
      </c>
      <c r="K38" s="21">
        <v>0.67532467842102051</v>
      </c>
      <c r="L38" s="21">
        <v>0.69736844301223755</v>
      </c>
      <c r="M38" s="21">
        <v>0.1304347813129425</v>
      </c>
      <c r="N38" s="21">
        <v>6.7669175565242767E-2</v>
      </c>
      <c r="O38" s="21">
        <v>5.55555559694767E-2</v>
      </c>
      <c r="P38" s="22">
        <v>40</v>
      </c>
      <c r="Q38" s="2" t="s">
        <v>18</v>
      </c>
      <c r="R38" s="2"/>
      <c r="S38" s="2"/>
      <c r="T38" s="2"/>
      <c r="U38" s="2"/>
      <c r="V38" s="2"/>
      <c r="W38" s="2"/>
      <c r="X38" s="2"/>
      <c r="Y38" s="2"/>
      <c r="Z38" s="2"/>
    </row>
    <row r="39" spans="1:26" ht="12.75" customHeight="1" x14ac:dyDescent="0.25">
      <c r="A39" s="2" t="s">
        <v>55</v>
      </c>
      <c r="B39" s="19">
        <v>7.7146492004394531</v>
      </c>
      <c r="C39" s="21">
        <v>0.17647059261798859</v>
      </c>
      <c r="D39" s="21">
        <v>0.85106384754180908</v>
      </c>
      <c r="E39" s="21">
        <v>0.82978725433349609</v>
      </c>
      <c r="F39" s="21">
        <v>0.86170214414596558</v>
      </c>
      <c r="G39" s="21">
        <v>0.77419352531433105</v>
      </c>
      <c r="H39" s="21">
        <v>0.89247310161590576</v>
      </c>
      <c r="I39" s="21">
        <v>0.91397851705551147</v>
      </c>
      <c r="J39" s="21">
        <v>0.72727274894714355</v>
      </c>
      <c r="K39" s="21">
        <v>0.71428573131561279</v>
      </c>
      <c r="L39" s="21">
        <v>0.72727274894714355</v>
      </c>
      <c r="M39" s="21">
        <v>0.2222222238779068</v>
      </c>
      <c r="N39" s="21">
        <v>2.857142873108387E-2</v>
      </c>
      <c r="O39" s="21">
        <v>8.510638028383255E-2</v>
      </c>
      <c r="P39" s="22">
        <v>12</v>
      </c>
      <c r="Q39" s="2" t="s">
        <v>18</v>
      </c>
      <c r="R39" s="2"/>
      <c r="S39" s="2"/>
      <c r="T39" s="2"/>
      <c r="U39" s="2"/>
      <c r="V39" s="2"/>
      <c r="W39" s="2"/>
      <c r="X39" s="2"/>
      <c r="Y39" s="2"/>
      <c r="Z39" s="2"/>
    </row>
    <row r="40" spans="1:26" ht="12.75" customHeight="1" x14ac:dyDescent="0.25">
      <c r="A40" s="2" t="s">
        <v>57</v>
      </c>
      <c r="B40" s="19">
        <v>8.1551036834716797</v>
      </c>
      <c r="C40" s="21">
        <v>0.22400000691413879</v>
      </c>
      <c r="D40" s="21">
        <v>0.88172042369842529</v>
      </c>
      <c r="E40" s="21">
        <v>0.83333331346511841</v>
      </c>
      <c r="F40" s="21">
        <v>0.83333331346511841</v>
      </c>
      <c r="G40" s="21">
        <v>0.86813187599182129</v>
      </c>
      <c r="H40" s="21">
        <v>0.94505494832992554</v>
      </c>
      <c r="I40" s="21">
        <v>0.89999997615814209</v>
      </c>
      <c r="J40" s="21">
        <v>0.83076924085617065</v>
      </c>
      <c r="K40" s="21">
        <v>0.86153846979141235</v>
      </c>
      <c r="L40" s="21">
        <v>0.86153846979141235</v>
      </c>
      <c r="M40" s="21">
        <v>0.25</v>
      </c>
      <c r="N40" s="21">
        <v>7.8740157186985016E-2</v>
      </c>
      <c r="O40" s="21">
        <v>5.8823529630899429E-2</v>
      </c>
      <c r="P40" s="22">
        <v>12</v>
      </c>
      <c r="Q40" s="2" t="s">
        <v>15</v>
      </c>
      <c r="R40" s="2"/>
      <c r="S40" s="2"/>
      <c r="T40" s="2"/>
      <c r="U40" s="2"/>
      <c r="V40" s="2"/>
      <c r="W40" s="2"/>
      <c r="X40" s="2"/>
      <c r="Y40" s="2"/>
      <c r="Z40" s="2"/>
    </row>
    <row r="41" spans="1:26" ht="12.75" customHeight="1" x14ac:dyDescent="0.25">
      <c r="A41" s="2" t="s">
        <v>58</v>
      </c>
      <c r="B41" s="19">
        <v>7.634516716003418</v>
      </c>
      <c r="C41" s="21">
        <v>0.18705035746097565</v>
      </c>
      <c r="D41" s="21">
        <v>0.83636361360549927</v>
      </c>
      <c r="E41" s="21">
        <v>0.79816514253616333</v>
      </c>
      <c r="F41" s="21">
        <v>0.7818182110786438</v>
      </c>
      <c r="G41" s="21">
        <v>0.80909091234207153</v>
      </c>
      <c r="H41" s="21">
        <v>0.82727271318435669</v>
      </c>
      <c r="I41" s="21">
        <v>0.82568806409835815</v>
      </c>
      <c r="J41" s="21">
        <v>0.81818181276321411</v>
      </c>
      <c r="K41" s="21">
        <v>0.80303031206130981</v>
      </c>
      <c r="L41" s="21">
        <v>0.80303031206130981</v>
      </c>
      <c r="M41" s="21">
        <v>0.22727273404598236</v>
      </c>
      <c r="N41" s="21">
        <v>4.109589010477066E-2</v>
      </c>
      <c r="O41" s="21">
        <v>7.9365082085132599E-2</v>
      </c>
      <c r="P41" s="22">
        <v>35</v>
      </c>
      <c r="Q41" s="2" t="s">
        <v>21</v>
      </c>
      <c r="R41" s="2"/>
      <c r="S41" s="2"/>
      <c r="T41" s="2"/>
      <c r="U41" s="2"/>
      <c r="V41" s="2"/>
      <c r="W41" s="2"/>
      <c r="X41" s="2"/>
      <c r="Y41" s="2"/>
      <c r="Z41" s="2"/>
    </row>
    <row r="42" spans="1:26" ht="12.75" customHeight="1" x14ac:dyDescent="0.25">
      <c r="A42" s="2" t="s">
        <v>59</v>
      </c>
      <c r="B42" s="19">
        <v>6.5406742095947266</v>
      </c>
      <c r="C42" s="21">
        <v>0.190476194024086</v>
      </c>
      <c r="D42" s="21">
        <v>0.8195488452911377</v>
      </c>
      <c r="E42" s="21">
        <v>0.81343281269073486</v>
      </c>
      <c r="F42" s="21">
        <v>0.78030300140380859</v>
      </c>
      <c r="G42" s="21">
        <v>0.81203007698059082</v>
      </c>
      <c r="H42" s="21">
        <v>0.94814813137054443</v>
      </c>
      <c r="I42" s="21">
        <v>0.84328359365463257</v>
      </c>
      <c r="J42" s="21">
        <v>0.60759490728378296</v>
      </c>
      <c r="K42" s="21">
        <v>0.56410259008407593</v>
      </c>
      <c r="L42" s="21">
        <v>0.5</v>
      </c>
      <c r="M42" s="21">
        <v>0.30000001192092896</v>
      </c>
      <c r="N42" s="21">
        <v>3.3112581819295883E-2</v>
      </c>
      <c r="O42" s="21">
        <v>5.4545454680919647E-2</v>
      </c>
      <c r="P42" s="22">
        <v>56</v>
      </c>
      <c r="Q42" s="2" t="s">
        <v>26</v>
      </c>
      <c r="R42" s="2"/>
      <c r="S42" s="2"/>
      <c r="T42" s="2"/>
      <c r="U42" s="2"/>
      <c r="V42" s="2"/>
      <c r="W42" s="2"/>
      <c r="X42" s="2"/>
      <c r="Y42" s="2"/>
      <c r="Z42" s="2"/>
    </row>
    <row r="43" spans="1:26" ht="12.75" customHeight="1" x14ac:dyDescent="0.25">
      <c r="A43" s="2" t="s">
        <v>60</v>
      </c>
      <c r="B43" s="19">
        <v>7.8344306945800781</v>
      </c>
      <c r="C43" s="21">
        <v>0.125</v>
      </c>
      <c r="D43" s="21">
        <v>0.77981650829315186</v>
      </c>
      <c r="E43" s="21">
        <v>0.77777779102325439</v>
      </c>
      <c r="F43" s="21">
        <v>0.82568806409835815</v>
      </c>
      <c r="G43" s="21">
        <v>0.82568806409835815</v>
      </c>
      <c r="H43" s="21">
        <v>0.80733942985534668</v>
      </c>
      <c r="I43" s="21">
        <v>0.81818181276321411</v>
      </c>
      <c r="J43" s="21">
        <v>0.76190477609634399</v>
      </c>
      <c r="K43" s="21">
        <v>0.77499997615814209</v>
      </c>
      <c r="L43" s="21">
        <v>0.75609755516052246</v>
      </c>
      <c r="M43" s="21">
        <v>3.9999999105930328E-2</v>
      </c>
      <c r="N43" s="21">
        <v>5.3435113281011581E-2</v>
      </c>
      <c r="O43" s="21">
        <v>5.6603774428367615E-2</v>
      </c>
      <c r="P43" s="22">
        <v>22</v>
      </c>
      <c r="Q43" s="2" t="s">
        <v>21</v>
      </c>
      <c r="R43" s="2"/>
      <c r="S43" s="2"/>
      <c r="T43" s="2"/>
      <c r="U43" s="2"/>
      <c r="V43" s="2"/>
      <c r="W43" s="2"/>
      <c r="X43" s="2"/>
      <c r="Y43" s="2"/>
      <c r="Z43" s="2"/>
    </row>
    <row r="44" spans="1:26" ht="12.75" customHeight="1" x14ac:dyDescent="0.25">
      <c r="A44" s="2" t="s">
        <v>61</v>
      </c>
      <c r="B44" s="19">
        <v>8.6676368713378906</v>
      </c>
      <c r="C44" s="21">
        <v>0.38738739490509033</v>
      </c>
      <c r="D44" s="21">
        <v>0.94186043739318848</v>
      </c>
      <c r="E44" s="21">
        <v>0.94186043739318848</v>
      </c>
      <c r="F44" s="21">
        <v>0.88372093439102173</v>
      </c>
      <c r="G44" s="21">
        <v>0.9529411792755127</v>
      </c>
      <c r="H44" s="21">
        <v>0.97674417495727539</v>
      </c>
      <c r="I44" s="21">
        <v>0.88372093439102173</v>
      </c>
      <c r="J44" s="21">
        <v>0.93103450536727905</v>
      </c>
      <c r="K44" s="21">
        <v>0.93103450536727905</v>
      </c>
      <c r="L44" s="21">
        <v>0.91379308700561523</v>
      </c>
      <c r="M44" s="21">
        <v>0.28571429848670959</v>
      </c>
      <c r="N44" s="21">
        <v>8.849557489156723E-3</v>
      </c>
      <c r="O44" s="21">
        <v>4.76190485060215E-2</v>
      </c>
      <c r="P44" s="22">
        <v>10</v>
      </c>
      <c r="Q44" s="2" t="s">
        <v>26</v>
      </c>
      <c r="R44" s="2"/>
      <c r="S44" s="2"/>
      <c r="T44" s="2"/>
      <c r="U44" s="2"/>
      <c r="V44" s="2"/>
      <c r="W44" s="2"/>
      <c r="X44" s="2"/>
      <c r="Y44" s="2"/>
      <c r="Z44" s="2"/>
    </row>
    <row r="45" spans="1:26" ht="12.75" customHeight="1" x14ac:dyDescent="0.25">
      <c r="A45" s="2" t="s">
        <v>62</v>
      </c>
      <c r="B45" s="19">
        <v>8.00762939453125</v>
      </c>
      <c r="C45" s="21">
        <v>0.17985612154006958</v>
      </c>
      <c r="D45" s="21">
        <v>0.81553399562835693</v>
      </c>
      <c r="E45" s="21">
        <v>0.77227723598480225</v>
      </c>
      <c r="F45" s="21">
        <v>0.84158414602279663</v>
      </c>
      <c r="G45" s="21">
        <v>0.70588237047195435</v>
      </c>
      <c r="H45" s="21">
        <v>0.82352942228317261</v>
      </c>
      <c r="I45" s="21">
        <v>0.83495146036148071</v>
      </c>
      <c r="J45" s="21">
        <v>0.89655172824859619</v>
      </c>
      <c r="K45" s="21">
        <v>0.89655172824859619</v>
      </c>
      <c r="L45" s="21">
        <v>0.89655172824859619</v>
      </c>
      <c r="M45" s="21">
        <v>8.3333335816860199E-2</v>
      </c>
      <c r="N45" s="21">
        <v>5.6338027119636536E-2</v>
      </c>
      <c r="O45" s="21">
        <v>0.1355932205915451</v>
      </c>
      <c r="P45" s="22">
        <v>33</v>
      </c>
      <c r="Q45" s="2" t="s">
        <v>18</v>
      </c>
      <c r="R45" s="2"/>
      <c r="S45" s="2"/>
      <c r="T45" s="2"/>
      <c r="U45" s="2"/>
      <c r="V45" s="2"/>
      <c r="W45" s="2"/>
      <c r="X45" s="2"/>
      <c r="Y45" s="2"/>
      <c r="Z45" s="2"/>
    </row>
    <row r="46" spans="1:26" ht="12.75" customHeight="1" x14ac:dyDescent="0.25">
      <c r="A46" s="2" t="s">
        <v>63</v>
      </c>
      <c r="B46" s="19">
        <v>7.5088315010070801</v>
      </c>
      <c r="C46" s="21">
        <v>0.29245284199714661</v>
      </c>
      <c r="D46" s="21">
        <v>0.79746836423873901</v>
      </c>
      <c r="E46" s="21">
        <v>0.74358975887298584</v>
      </c>
      <c r="F46" s="21">
        <v>0.81012660264968872</v>
      </c>
      <c r="G46" s="21">
        <v>0.67088609933853149</v>
      </c>
      <c r="H46" s="21">
        <v>0.9375</v>
      </c>
      <c r="I46" s="21">
        <v>0.73417723178863525</v>
      </c>
      <c r="J46" s="21">
        <v>0.76271188259124756</v>
      </c>
      <c r="K46" s="21">
        <v>0.75862067937850952</v>
      </c>
      <c r="L46" s="21">
        <v>0.74137932062149048</v>
      </c>
      <c r="M46" s="21">
        <v>5.55555559694767E-2</v>
      </c>
      <c r="N46" s="21">
        <v>3.7383176386356354E-2</v>
      </c>
      <c r="O46" s="21">
        <v>4.6511627733707428E-2</v>
      </c>
      <c r="P46" s="22">
        <v>20</v>
      </c>
      <c r="Q46" s="2" t="s">
        <v>26</v>
      </c>
      <c r="R46" s="2"/>
      <c r="S46" s="2"/>
      <c r="T46" s="2"/>
      <c r="U46" s="2"/>
      <c r="V46" s="2"/>
      <c r="W46" s="2"/>
      <c r="X46" s="2"/>
      <c r="Y46" s="2"/>
      <c r="Z46" s="2"/>
    </row>
    <row r="47" spans="1:26" ht="12.75" customHeight="1" x14ac:dyDescent="0.25">
      <c r="A47" s="2" t="s">
        <v>64</v>
      </c>
      <c r="B47" s="19">
        <v>5.6206507682800293</v>
      </c>
      <c r="C47" s="21">
        <v>0.21818181872367859</v>
      </c>
      <c r="D47" s="21">
        <v>0.77777779102325439</v>
      </c>
      <c r="E47" s="21">
        <v>0.77227723598480225</v>
      </c>
      <c r="F47" s="21">
        <v>0.78787881135940552</v>
      </c>
      <c r="G47" s="21">
        <v>0.72727274894714355</v>
      </c>
      <c r="H47" s="21">
        <v>0.92857140302658081</v>
      </c>
      <c r="I47" s="21">
        <v>0.85858583450317383</v>
      </c>
      <c r="J47" s="21">
        <v>0.41538462042808533</v>
      </c>
      <c r="K47" s="21">
        <v>0.40000000596046448</v>
      </c>
      <c r="L47" s="21">
        <v>0.38461539149284363</v>
      </c>
      <c r="M47" s="21">
        <v>0.40000000596046448</v>
      </c>
      <c r="N47" s="21">
        <v>6.25E-2</v>
      </c>
      <c r="O47" s="21">
        <v>0.15384615957736969</v>
      </c>
      <c r="P47" s="22">
        <v>24</v>
      </c>
      <c r="Q47" s="2" t="s">
        <v>26</v>
      </c>
      <c r="R47" s="2"/>
      <c r="S47" s="2"/>
      <c r="T47" s="2"/>
      <c r="U47" s="2"/>
      <c r="V47" s="2"/>
      <c r="W47" s="2"/>
      <c r="X47" s="2"/>
      <c r="Y47" s="2"/>
      <c r="Z47" s="2"/>
    </row>
    <row r="48" spans="1:26" ht="12.75" customHeight="1" x14ac:dyDescent="0.25">
      <c r="A48" s="2" t="s">
        <v>65</v>
      </c>
      <c r="B48" s="19">
        <v>7.5604605674743652</v>
      </c>
      <c r="C48" s="21">
        <v>0.2887323796749115</v>
      </c>
      <c r="D48" s="21">
        <v>0.87037038803100586</v>
      </c>
      <c r="E48" s="21">
        <v>0.8317757248878479</v>
      </c>
      <c r="F48" s="21">
        <v>0.75700932741165161</v>
      </c>
      <c r="G48" s="21">
        <v>0.77777779102325439</v>
      </c>
      <c r="H48" s="21">
        <v>0.97196263074874878</v>
      </c>
      <c r="I48" s="21">
        <v>0.75</v>
      </c>
      <c r="J48" s="21">
        <v>0.84210526943206787</v>
      </c>
      <c r="K48" s="21">
        <v>0.82894736528396606</v>
      </c>
      <c r="L48" s="21">
        <v>0.81578946113586426</v>
      </c>
      <c r="M48" s="21">
        <v>0.31818181276321411</v>
      </c>
      <c r="N48" s="21">
        <v>3.4013606607913971E-2</v>
      </c>
      <c r="O48" s="21">
        <v>0.10769230872392654</v>
      </c>
      <c r="P48" s="22">
        <v>24</v>
      </c>
      <c r="Q48" s="2" t="s">
        <v>26</v>
      </c>
      <c r="R48" s="2"/>
      <c r="S48" s="2"/>
      <c r="T48" s="2"/>
      <c r="U48" s="2"/>
      <c r="V48" s="2"/>
      <c r="W48" s="2"/>
      <c r="X48" s="2"/>
      <c r="Y48" s="2"/>
      <c r="Z48" s="2"/>
    </row>
    <row r="49" spans="1:26" ht="12.75" customHeight="1" x14ac:dyDescent="0.25">
      <c r="A49" s="2" t="s">
        <v>66</v>
      </c>
      <c r="B49" s="19">
        <v>7.2826423645019531</v>
      </c>
      <c r="C49" s="21">
        <v>0.23529411852359772</v>
      </c>
      <c r="D49" s="21">
        <v>0.79069769382476807</v>
      </c>
      <c r="E49" s="21">
        <v>0.80232560634613037</v>
      </c>
      <c r="F49" s="21">
        <v>0.68965518474578857</v>
      </c>
      <c r="G49" s="21">
        <v>0.7816091775894165</v>
      </c>
      <c r="H49" s="21">
        <v>0.93103450536727905</v>
      </c>
      <c r="I49" s="21">
        <v>0.69318181276321411</v>
      </c>
      <c r="J49" s="21">
        <v>0.71929824352264404</v>
      </c>
      <c r="K49" s="21">
        <v>0.70175439119338989</v>
      </c>
      <c r="L49" s="21">
        <v>0.68421053886413574</v>
      </c>
      <c r="M49" s="21">
        <v>0</v>
      </c>
      <c r="N49" s="21">
        <v>5.7851240038871765E-2</v>
      </c>
      <c r="O49" s="21">
        <v>6.1224490404129028E-2</v>
      </c>
      <c r="P49" s="22">
        <v>32</v>
      </c>
      <c r="Q49" s="2" t="s">
        <v>26</v>
      </c>
      <c r="R49" s="2"/>
      <c r="S49" s="2"/>
      <c r="T49" s="2"/>
      <c r="U49" s="2"/>
      <c r="V49" s="2"/>
      <c r="W49" s="2"/>
      <c r="X49" s="2"/>
      <c r="Y49" s="2"/>
      <c r="Z49" s="2"/>
    </row>
    <row r="50" spans="1:26" ht="12.75" customHeight="1" x14ac:dyDescent="0.25">
      <c r="A50" s="2" t="s">
        <v>67</v>
      </c>
      <c r="B50" s="19">
        <v>8.3416986465454102</v>
      </c>
      <c r="C50" s="21">
        <v>0.24561403691768646</v>
      </c>
      <c r="D50" s="21">
        <v>0.91525423526763916</v>
      </c>
      <c r="E50" s="21">
        <v>0.87394958734512329</v>
      </c>
      <c r="F50" s="21">
        <v>0.875</v>
      </c>
      <c r="G50" s="21">
        <v>0.8403361439704895</v>
      </c>
      <c r="H50" s="21">
        <v>0.95762711763381958</v>
      </c>
      <c r="I50" s="21">
        <v>0.91735535860061646</v>
      </c>
      <c r="J50" s="21">
        <v>0.82558137178421021</v>
      </c>
      <c r="K50" s="21">
        <v>0.8452380895614624</v>
      </c>
      <c r="L50" s="21">
        <v>0.83333331346511841</v>
      </c>
      <c r="M50" s="21">
        <v>0.1428571492433548</v>
      </c>
      <c r="N50" s="21">
        <v>5.714285746216774E-2</v>
      </c>
      <c r="O50" s="21">
        <v>8.196721225976944E-2</v>
      </c>
      <c r="P50" s="22">
        <v>10</v>
      </c>
      <c r="Q50" s="2" t="s">
        <v>21</v>
      </c>
      <c r="R50" s="2"/>
      <c r="S50" s="2"/>
      <c r="T50" s="2"/>
      <c r="U50" s="2"/>
      <c r="V50" s="2"/>
      <c r="W50" s="2"/>
      <c r="X50" s="2"/>
      <c r="Y50" s="2"/>
      <c r="Z50" s="2"/>
    </row>
    <row r="51" spans="1:26" ht="12.75" customHeight="1" x14ac:dyDescent="0.25">
      <c r="A51" s="2" t="s">
        <v>68</v>
      </c>
      <c r="B51" s="19">
        <v>5.8656787872314453</v>
      </c>
      <c r="C51" s="21">
        <v>0.16037735342979431</v>
      </c>
      <c r="D51" s="21">
        <v>0.87755101919174194</v>
      </c>
      <c r="E51" s="21">
        <v>0.77319586277008057</v>
      </c>
      <c r="F51" s="21">
        <v>0.75757575035095215</v>
      </c>
      <c r="G51" s="21">
        <v>0.8163265585899353</v>
      </c>
      <c r="H51" s="21">
        <v>0.87755101919174194</v>
      </c>
      <c r="I51" s="21">
        <v>0.84536081552505493</v>
      </c>
      <c r="J51" s="21">
        <v>0.4038461446762085</v>
      </c>
      <c r="K51" s="21">
        <v>0.4038461446762085</v>
      </c>
      <c r="L51" s="21">
        <v>0.4038461446762085</v>
      </c>
      <c r="M51" s="21">
        <v>0.28571429848670959</v>
      </c>
      <c r="N51" s="21">
        <v>7.4766352772712708E-2</v>
      </c>
      <c r="O51" s="21">
        <v>0.12820513546466827</v>
      </c>
      <c r="P51" s="22">
        <v>32</v>
      </c>
      <c r="Q51" s="2" t="s">
        <v>26</v>
      </c>
      <c r="R51" s="2"/>
      <c r="S51" s="2"/>
      <c r="T51" s="2"/>
      <c r="U51" s="2"/>
      <c r="V51" s="2"/>
      <c r="W51" s="2"/>
      <c r="X51" s="2"/>
      <c r="Y51" s="2"/>
      <c r="Z51" s="2"/>
    </row>
    <row r="52" spans="1:26" ht="12.75" customHeight="1" x14ac:dyDescent="0.25">
      <c r="A52" s="2" t="s">
        <v>69</v>
      </c>
      <c r="B52" s="19">
        <v>7.8539795875549316</v>
      </c>
      <c r="C52" s="21">
        <v>0.24038460850715637</v>
      </c>
      <c r="D52" s="21">
        <v>0.82666665315628052</v>
      </c>
      <c r="E52" s="21">
        <v>0.74324321746826172</v>
      </c>
      <c r="F52" s="21">
        <v>0.84931504726409912</v>
      </c>
      <c r="G52" s="21">
        <v>0.74666666984558105</v>
      </c>
      <c r="H52" s="21">
        <v>0.94594591856002808</v>
      </c>
      <c r="I52" s="21">
        <v>0.72972971200942993</v>
      </c>
      <c r="J52" s="21">
        <v>0.83333331346511841</v>
      </c>
      <c r="K52" s="21">
        <v>0.83333331346511841</v>
      </c>
      <c r="L52" s="21">
        <v>0.83333331346511841</v>
      </c>
      <c r="M52" s="21">
        <v>0.15789473056793213</v>
      </c>
      <c r="N52" s="21">
        <v>2.8301887214183807E-2</v>
      </c>
      <c r="O52" s="21">
        <v>9.3023255467414856E-2</v>
      </c>
      <c r="P52" s="22">
        <v>10</v>
      </c>
      <c r="Q52" s="2" t="s">
        <v>15</v>
      </c>
      <c r="R52" s="2"/>
      <c r="S52" s="2"/>
      <c r="T52" s="2"/>
      <c r="U52" s="2"/>
      <c r="V52" s="2"/>
      <c r="W52" s="2"/>
      <c r="X52" s="2"/>
      <c r="Y52" s="2"/>
      <c r="Z52" s="2"/>
    </row>
    <row r="53" spans="1:26" ht="12.75" customHeight="1" x14ac:dyDescent="0.25">
      <c r="A53" s="2" t="s">
        <v>70</v>
      </c>
      <c r="B53" s="19">
        <v>6.7104687690734863</v>
      </c>
      <c r="C53" s="21">
        <v>0.3177570104598999</v>
      </c>
      <c r="D53" s="21">
        <v>0.86301368474960327</v>
      </c>
      <c r="E53" s="21">
        <v>0.8219178318977356</v>
      </c>
      <c r="F53" s="21">
        <v>0.8219178318977356</v>
      </c>
      <c r="G53" s="21">
        <v>0.77027028799057007</v>
      </c>
      <c r="H53" s="21">
        <v>0.9452054500579834</v>
      </c>
      <c r="I53" s="21">
        <v>0.84931504726409912</v>
      </c>
      <c r="J53" s="21">
        <v>0.7321428656578064</v>
      </c>
      <c r="K53" s="21">
        <v>0.70909088850021362</v>
      </c>
      <c r="L53" s="21">
        <v>0.70909088850021362</v>
      </c>
      <c r="M53" s="21">
        <v>0.375</v>
      </c>
      <c r="N53" s="21">
        <v>0.12844036519527435</v>
      </c>
      <c r="O53" s="21">
        <v>0.19607843458652496</v>
      </c>
      <c r="P53" s="22">
        <v>36</v>
      </c>
      <c r="Q53" s="2" t="s">
        <v>18</v>
      </c>
      <c r="R53" s="2"/>
      <c r="S53" s="2"/>
      <c r="T53" s="2"/>
      <c r="U53" s="2"/>
      <c r="V53" s="2"/>
      <c r="W53" s="2"/>
      <c r="X53" s="2"/>
      <c r="Y53" s="2"/>
      <c r="Z53" s="2"/>
    </row>
    <row r="54" spans="1:26" ht="12.75" customHeight="1" x14ac:dyDescent="0.25">
      <c r="A54" s="2" t="s">
        <v>78</v>
      </c>
      <c r="B54" s="19">
        <v>7.449798583984375</v>
      </c>
      <c r="C54" s="21">
        <v>0.29752066731452942</v>
      </c>
      <c r="D54" s="21">
        <v>0.86315786838531494</v>
      </c>
      <c r="E54" s="21">
        <v>0.64893615245819092</v>
      </c>
      <c r="F54" s="21">
        <v>0.76041668653488159</v>
      </c>
      <c r="G54" s="21">
        <v>0.75789475440979004</v>
      </c>
      <c r="H54" s="21">
        <v>0.86315786838531494</v>
      </c>
      <c r="I54" s="21">
        <v>0.75257730484008789</v>
      </c>
      <c r="J54" s="21">
        <v>0.84931504726409912</v>
      </c>
      <c r="K54" s="21">
        <v>0.84722220897674561</v>
      </c>
      <c r="L54" s="21">
        <v>0.79166668653488159</v>
      </c>
      <c r="M54" s="21">
        <v>0.20000000298023224</v>
      </c>
      <c r="N54" s="21">
        <v>4.0650404989719391E-2</v>
      </c>
      <c r="O54" s="21">
        <v>5.8823529630899429E-2</v>
      </c>
      <c r="P54" s="22">
        <v>36</v>
      </c>
      <c r="Q54" s="2" t="s">
        <v>26</v>
      </c>
      <c r="R54" s="2"/>
      <c r="S54" s="2"/>
      <c r="T54" s="2"/>
      <c r="U54" s="2"/>
      <c r="V54" s="2"/>
      <c r="W54" s="2"/>
      <c r="X54" s="2"/>
      <c r="Y54" s="2"/>
      <c r="Z54" s="2"/>
    </row>
    <row r="55" spans="1:26" ht="12.75" customHeight="1" x14ac:dyDescent="0.25">
      <c r="A55" s="2" t="s">
        <v>71</v>
      </c>
      <c r="B55" s="19">
        <v>7.0268964767456055</v>
      </c>
      <c r="C55" s="21">
        <v>0.21600000560283661</v>
      </c>
      <c r="D55" s="21">
        <v>0.83505153656005859</v>
      </c>
      <c r="E55" s="21">
        <v>0.82653063535690308</v>
      </c>
      <c r="F55" s="21">
        <v>0.7373737096786499</v>
      </c>
      <c r="G55" s="21">
        <v>0.77319586277008057</v>
      </c>
      <c r="H55" s="21">
        <v>0.90816324949264526</v>
      </c>
      <c r="I55" s="21">
        <v>0.79591834545135498</v>
      </c>
      <c r="J55" s="21">
        <v>0.64383560419082642</v>
      </c>
      <c r="K55" s="21">
        <v>0.662162184715271</v>
      </c>
      <c r="L55" s="21">
        <v>0.67567569017410278</v>
      </c>
      <c r="M55" s="21">
        <v>0.18181818723678589</v>
      </c>
      <c r="N55" s="21">
        <v>7.0866145193576813E-2</v>
      </c>
      <c r="O55" s="21">
        <v>0.18867924809455872</v>
      </c>
      <c r="P55" s="22">
        <v>5</v>
      </c>
      <c r="Q55" s="2" t="s">
        <v>24</v>
      </c>
      <c r="R55" s="2"/>
      <c r="S55" s="2"/>
      <c r="T55" s="2"/>
      <c r="U55" s="2"/>
      <c r="V55" s="2"/>
      <c r="W55" s="2"/>
      <c r="X55" s="2"/>
      <c r="Y55" s="2"/>
      <c r="Z55" s="2"/>
    </row>
    <row r="56" spans="1:26" ht="12.75" customHeight="1" x14ac:dyDescent="0.25">
      <c r="A56" s="2" t="s">
        <v>72</v>
      </c>
      <c r="B56" s="19">
        <v>7.4455842971801758</v>
      </c>
      <c r="C56" s="21">
        <v>0.19200000166893005</v>
      </c>
      <c r="D56" s="21">
        <v>0.82222223281860352</v>
      </c>
      <c r="E56" s="21">
        <v>0.75555557012557983</v>
      </c>
      <c r="F56" s="21">
        <v>0.76404494047164917</v>
      </c>
      <c r="G56" s="21">
        <v>0.78888887166976929</v>
      </c>
      <c r="H56" s="21">
        <v>0.91011238098144531</v>
      </c>
      <c r="I56" s="21">
        <v>0.86363637447357178</v>
      </c>
      <c r="J56" s="21">
        <v>0.70909088850021362</v>
      </c>
      <c r="K56" s="21">
        <v>0.74074071645736694</v>
      </c>
      <c r="L56" s="21">
        <v>0.71698111295700073</v>
      </c>
      <c r="M56" s="21">
        <v>0.27272728085517883</v>
      </c>
      <c r="N56" s="21">
        <v>3.9370078593492508E-2</v>
      </c>
      <c r="O56" s="21">
        <v>6.25E-2</v>
      </c>
      <c r="P56" s="22">
        <v>10</v>
      </c>
      <c r="Q56" s="2" t="s">
        <v>21</v>
      </c>
      <c r="R56" s="2"/>
      <c r="S56" s="2"/>
      <c r="T56" s="2"/>
      <c r="U56" s="2"/>
      <c r="V56" s="2"/>
      <c r="W56" s="2"/>
      <c r="X56" s="2"/>
      <c r="Y56" s="2"/>
      <c r="Z56" s="2"/>
    </row>
    <row r="57" spans="1:26" ht="12.75" customHeight="1" x14ac:dyDescent="0.25">
      <c r="A57" s="2" t="s">
        <v>73</v>
      </c>
      <c r="B57" s="19">
        <v>7.172370433807373</v>
      </c>
      <c r="C57" s="21">
        <v>0.25203251838684082</v>
      </c>
      <c r="D57" s="21">
        <v>0.83505153656005859</v>
      </c>
      <c r="E57" s="21">
        <v>0.73469388484954834</v>
      </c>
      <c r="F57" s="21">
        <v>0.78787881135940552</v>
      </c>
      <c r="G57" s="21">
        <v>0.72000002861022949</v>
      </c>
      <c r="H57" s="21">
        <v>0.91919189691543579</v>
      </c>
      <c r="I57" s="21">
        <v>0.82999998331069946</v>
      </c>
      <c r="J57" s="21">
        <v>0.77966099977493286</v>
      </c>
      <c r="K57" s="21">
        <v>0.74137932062149048</v>
      </c>
      <c r="L57" s="21">
        <v>0.74137932062149048</v>
      </c>
      <c r="M57" s="21">
        <v>0.2916666567325592</v>
      </c>
      <c r="N57" s="21">
        <v>6.4516127109527588E-2</v>
      </c>
      <c r="O57" s="21">
        <v>5.8823529630899429E-2</v>
      </c>
      <c r="P57" s="22">
        <v>40</v>
      </c>
      <c r="Q57" s="2" t="s">
        <v>18</v>
      </c>
      <c r="R57" s="2"/>
      <c r="S57" s="2"/>
      <c r="T57" s="2"/>
      <c r="U57" s="2"/>
      <c r="V57" s="2"/>
      <c r="W57" s="2"/>
      <c r="X57" s="2"/>
      <c r="Y57" s="2"/>
      <c r="Z57" s="2"/>
    </row>
    <row r="58" spans="1:26" ht="12.75" customHeight="1" x14ac:dyDescent="0.25">
      <c r="A58" s="2" t="s">
        <v>74</v>
      </c>
      <c r="B58" s="19">
        <v>7.0646266937255859</v>
      </c>
      <c r="C58" s="21">
        <v>0.24203822016716003</v>
      </c>
      <c r="D58" s="21">
        <v>0.78217822313308716</v>
      </c>
      <c r="E58" s="21">
        <v>0.81188118457794189</v>
      </c>
      <c r="F58" s="21">
        <v>0.81999999284744263</v>
      </c>
      <c r="G58" s="21">
        <v>0.7549019455909729</v>
      </c>
      <c r="H58" s="21">
        <v>0.84313726425170898</v>
      </c>
      <c r="I58" s="21">
        <v>0.80808079242706299</v>
      </c>
      <c r="J58" s="21">
        <v>0.79381442070007324</v>
      </c>
      <c r="K58" s="21">
        <v>0.78947371244430542</v>
      </c>
      <c r="L58" s="21">
        <v>0.78947371244430542</v>
      </c>
      <c r="M58" s="21">
        <v>0.30000001192092896</v>
      </c>
      <c r="N58" s="21">
        <v>4.374999925494194E-2</v>
      </c>
      <c r="O58" s="21">
        <v>0.171875</v>
      </c>
      <c r="P58" s="22">
        <v>48</v>
      </c>
      <c r="Q58" s="2" t="s">
        <v>26</v>
      </c>
      <c r="R58" s="2"/>
      <c r="S58" s="2"/>
      <c r="T58" s="2"/>
      <c r="U58" s="2"/>
      <c r="V58" s="2"/>
      <c r="W58" s="2"/>
      <c r="X58" s="2"/>
      <c r="Y58" s="2"/>
      <c r="Z58" s="2"/>
    </row>
    <row r="59" spans="1:26" ht="12.75" customHeight="1" x14ac:dyDescent="0.25">
      <c r="A59" s="2" t="s">
        <v>75</v>
      </c>
      <c r="B59" s="19">
        <v>8.2084980010986328</v>
      </c>
      <c r="C59" s="21">
        <v>0.28037384152412415</v>
      </c>
      <c r="D59" s="21">
        <v>0.84782606363296509</v>
      </c>
      <c r="E59" s="21">
        <v>0.81720429658889771</v>
      </c>
      <c r="F59" s="21">
        <v>0.84946238994598389</v>
      </c>
      <c r="G59" s="21">
        <v>0.79787236452102661</v>
      </c>
      <c r="H59" s="21">
        <v>0.96808511018753052</v>
      </c>
      <c r="I59" s="21">
        <v>0.76595747470855713</v>
      </c>
      <c r="J59" s="21">
        <v>0.85507243871688843</v>
      </c>
      <c r="K59" s="21">
        <v>0.85507243871688843</v>
      </c>
      <c r="L59" s="21">
        <v>0.84057968854904175</v>
      </c>
      <c r="M59" s="21">
        <v>4.3478261679410934E-2</v>
      </c>
      <c r="N59" s="21">
        <v>0.1160714253783226</v>
      </c>
      <c r="O59" s="21">
        <v>1.9607843831181526E-2</v>
      </c>
      <c r="P59" s="22">
        <v>8</v>
      </c>
      <c r="Q59" s="2" t="s">
        <v>15</v>
      </c>
      <c r="R59" s="2"/>
      <c r="S59" s="2"/>
      <c r="T59" s="2"/>
      <c r="U59" s="2"/>
      <c r="V59" s="2"/>
      <c r="W59" s="2"/>
      <c r="X59" s="2"/>
      <c r="Y59" s="2"/>
      <c r="Z59" s="2"/>
    </row>
    <row r="60" spans="1:26" ht="12.75" customHeight="1" x14ac:dyDescent="0.25">
      <c r="A60" s="2" t="s">
        <v>77</v>
      </c>
      <c r="B60" s="19">
        <v>7.3714323043823242</v>
      </c>
      <c r="C60" s="21">
        <v>0.2199999988079071</v>
      </c>
      <c r="D60" s="21">
        <v>0.90140843391418457</v>
      </c>
      <c r="E60" s="21">
        <v>0.75</v>
      </c>
      <c r="F60" s="21">
        <v>0.71428573131561279</v>
      </c>
      <c r="G60" s="21">
        <v>0.72463768720626831</v>
      </c>
      <c r="H60" s="21">
        <v>0.91428571939468384</v>
      </c>
      <c r="I60" s="21">
        <v>0.69565218687057495</v>
      </c>
      <c r="J60" s="21">
        <v>0.74074071645736694</v>
      </c>
      <c r="K60" s="21">
        <v>0.70370370149612427</v>
      </c>
      <c r="L60" s="21">
        <v>0.75925928354263306</v>
      </c>
      <c r="M60" s="21">
        <v>0.1111111119389534</v>
      </c>
      <c r="N60" s="21">
        <v>5.8252427726984024E-2</v>
      </c>
      <c r="O60" s="21">
        <v>0.15217390656471252</v>
      </c>
      <c r="P60" s="22">
        <v>3</v>
      </c>
      <c r="Q60" s="2" t="s">
        <v>15</v>
      </c>
      <c r="R60" s="2"/>
      <c r="S60" s="2"/>
      <c r="T60" s="2"/>
      <c r="U60" s="2"/>
      <c r="V60" s="2"/>
      <c r="W60" s="2"/>
      <c r="X60" s="2"/>
      <c r="Y60" s="2"/>
      <c r="Z60" s="2"/>
    </row>
    <row r="61" spans="1:26" ht="12.75" customHeight="1" x14ac:dyDescent="0.25">
      <c r="A61" s="2" t="s">
        <v>79</v>
      </c>
      <c r="B61" s="19">
        <v>6.665320873260498</v>
      </c>
      <c r="C61" s="21">
        <v>0.25961539149284363</v>
      </c>
      <c r="D61" s="21">
        <v>0.80459767580032349</v>
      </c>
      <c r="E61" s="21">
        <v>0.69318181276321411</v>
      </c>
      <c r="F61" s="21">
        <v>0.68965518474578857</v>
      </c>
      <c r="G61" s="21">
        <v>0.71590906381607056</v>
      </c>
      <c r="H61" s="21">
        <v>0.85393255949020386</v>
      </c>
      <c r="I61" s="21">
        <v>0.82954543828964233</v>
      </c>
      <c r="J61" s="21">
        <v>0.74193549156188965</v>
      </c>
      <c r="K61" s="21">
        <v>0.77419352531433105</v>
      </c>
      <c r="L61" s="21">
        <v>0.67741936445236206</v>
      </c>
      <c r="M61" s="21">
        <v>0.31578946113586426</v>
      </c>
      <c r="N61" s="21">
        <v>6.7307695746421814E-2</v>
      </c>
      <c r="O61" s="21">
        <v>0.12962962687015533</v>
      </c>
      <c r="P61" s="22">
        <v>48</v>
      </c>
      <c r="Q61" s="2" t="s">
        <v>18</v>
      </c>
      <c r="R61" s="2"/>
      <c r="S61" s="2"/>
      <c r="T61" s="2"/>
      <c r="U61" s="2"/>
      <c r="V61" s="2"/>
      <c r="W61" s="2"/>
      <c r="X61" s="2"/>
      <c r="Y61" s="2"/>
      <c r="Z61" s="2"/>
    </row>
    <row r="62" spans="1:26" ht="12.75" customHeight="1" x14ac:dyDescent="0.25">
      <c r="A62" s="2" t="s">
        <v>80</v>
      </c>
      <c r="B62" s="19">
        <v>8.3635501861572266</v>
      </c>
      <c r="C62" s="21">
        <v>0.230158731341362</v>
      </c>
      <c r="D62" s="21">
        <v>0.90804594755172729</v>
      </c>
      <c r="E62" s="21">
        <v>0.82758623361587524</v>
      </c>
      <c r="F62" s="21">
        <v>0.66666668653488159</v>
      </c>
      <c r="G62" s="21">
        <v>0.82758623361587524</v>
      </c>
      <c r="H62" s="21">
        <v>0.95402300357818604</v>
      </c>
      <c r="I62" s="21">
        <v>0.73563218116760254</v>
      </c>
      <c r="J62" s="21">
        <v>0.89024388790130615</v>
      </c>
      <c r="K62" s="21">
        <v>0.90243899822235107</v>
      </c>
      <c r="L62" s="21">
        <v>0.90243899822235107</v>
      </c>
      <c r="M62" s="21">
        <v>8.3333335816860199E-2</v>
      </c>
      <c r="N62" s="21">
        <v>2.3622047156095505E-2</v>
      </c>
      <c r="O62" s="21">
        <v>4.4776119291782379E-2</v>
      </c>
      <c r="P62" s="22">
        <v>16</v>
      </c>
      <c r="Q62" s="2" t="s">
        <v>15</v>
      </c>
      <c r="R62" s="2"/>
      <c r="S62" s="2"/>
      <c r="T62" s="2"/>
      <c r="U62" s="2"/>
      <c r="V62" s="2"/>
      <c r="W62" s="2"/>
      <c r="X62" s="2"/>
      <c r="Y62" s="2"/>
      <c r="Z62" s="2"/>
    </row>
    <row r="63" spans="1:26" ht="12.75" customHeight="1" x14ac:dyDescent="0.25">
      <c r="A63" s="2" t="s">
        <v>81</v>
      </c>
      <c r="B63" s="19">
        <v>7.2504911422729492</v>
      </c>
      <c r="C63" s="21">
        <v>0.19411765038967133</v>
      </c>
      <c r="D63" s="21">
        <v>0.86764705181121826</v>
      </c>
      <c r="E63" s="21">
        <v>0.80147057771682739</v>
      </c>
      <c r="F63" s="21">
        <v>0.76470589637756348</v>
      </c>
      <c r="G63" s="21">
        <v>0.85294115543365479</v>
      </c>
      <c r="H63" s="21">
        <v>0.88235294818878174</v>
      </c>
      <c r="I63" s="21">
        <v>0.81884056329727173</v>
      </c>
      <c r="J63" s="21">
        <v>0.71084338426589966</v>
      </c>
      <c r="K63" s="21">
        <v>0.73493975400924683</v>
      </c>
      <c r="L63" s="21">
        <v>0.74698793888092041</v>
      </c>
      <c r="M63" s="21">
        <v>0.30000001192092896</v>
      </c>
      <c r="N63" s="21">
        <v>7.4285715818405151E-2</v>
      </c>
      <c r="O63" s="21">
        <v>9.4594597816467285E-2</v>
      </c>
      <c r="P63" s="22">
        <v>24</v>
      </c>
      <c r="Q63" s="2" t="s">
        <v>21</v>
      </c>
      <c r="R63" s="2"/>
      <c r="S63" s="2"/>
      <c r="T63" s="2"/>
      <c r="U63" s="2"/>
      <c r="V63" s="2"/>
      <c r="W63" s="2"/>
      <c r="X63" s="2"/>
      <c r="Y63" s="2"/>
      <c r="Z63" s="2"/>
    </row>
    <row r="64" spans="1:26" ht="12.75" customHeight="1" x14ac:dyDescent="0.25">
      <c r="A64" s="5" t="s">
        <v>82</v>
      </c>
      <c r="B64" s="28">
        <v>7.7234220504760742</v>
      </c>
      <c r="C64" s="29">
        <v>0.22935779392719269</v>
      </c>
      <c r="D64" s="29">
        <v>0.81927710771560669</v>
      </c>
      <c r="E64" s="29">
        <v>0.84337347745895386</v>
      </c>
      <c r="F64" s="29">
        <v>0.72619044780731201</v>
      </c>
      <c r="G64" s="29">
        <v>0.75903612375259399</v>
      </c>
      <c r="H64" s="29">
        <v>0.9523809552192688</v>
      </c>
      <c r="I64" s="29">
        <v>0.90361446142196655</v>
      </c>
      <c r="J64" s="29">
        <v>0.7818182110786438</v>
      </c>
      <c r="K64" s="29">
        <v>0.76363635063171387</v>
      </c>
      <c r="L64" s="29">
        <v>0.7818182110786438</v>
      </c>
      <c r="M64" s="29">
        <v>3.9999999105930328E-2</v>
      </c>
      <c r="N64" s="29">
        <v>0.13636364042758942</v>
      </c>
      <c r="O64" s="29">
        <v>0.10000000149011612</v>
      </c>
      <c r="P64" s="30">
        <v>24</v>
      </c>
      <c r="Q64" s="5" t="s">
        <v>18</v>
      </c>
      <c r="R64" s="2"/>
      <c r="S64" s="2"/>
      <c r="T64" s="2"/>
      <c r="U64" s="2"/>
      <c r="V64" s="2"/>
      <c r="W64" s="2"/>
      <c r="X64" s="2"/>
      <c r="Y64" s="2"/>
      <c r="Z64" s="2"/>
    </row>
    <row r="65" spans="1:26" ht="12.75" customHeight="1" x14ac:dyDescent="0.25">
      <c r="A65" s="2"/>
      <c r="B65" s="2"/>
      <c r="C65" s="31"/>
      <c r="D65" s="31"/>
      <c r="E65" s="31"/>
      <c r="F65" s="31"/>
      <c r="G65" s="31"/>
      <c r="H65" s="31"/>
      <c r="I65" s="31"/>
      <c r="J65" s="31"/>
      <c r="K65" s="31"/>
      <c r="L65" s="31"/>
      <c r="M65" s="31"/>
      <c r="N65" s="31"/>
      <c r="O65" s="31"/>
      <c r="P65" s="2"/>
      <c r="Q65" s="2"/>
      <c r="R65" s="2"/>
      <c r="S65" s="2"/>
      <c r="T65" s="2"/>
      <c r="U65" s="2"/>
      <c r="V65" s="2"/>
      <c r="W65" s="2"/>
      <c r="X65" s="2"/>
      <c r="Y65" s="2"/>
      <c r="Z65" s="2"/>
    </row>
    <row r="66" spans="1:26" ht="12.75" customHeight="1" x14ac:dyDescent="0.25">
      <c r="A66" s="15" t="e">
        <f>#REF!</f>
        <v>#REF!</v>
      </c>
      <c r="B66" s="16">
        <f t="shared" ref="B66:P66" si="0">SUMIF($A$2:$A$64,$A$66,B2:B64)</f>
        <v>0</v>
      </c>
      <c r="C66" s="17">
        <f t="shared" si="0"/>
        <v>0</v>
      </c>
      <c r="D66" s="17">
        <f t="shared" si="0"/>
        <v>0</v>
      </c>
      <c r="E66" s="17">
        <f t="shared" si="0"/>
        <v>0</v>
      </c>
      <c r="F66" s="17">
        <f t="shared" si="0"/>
        <v>0</v>
      </c>
      <c r="G66" s="17">
        <f t="shared" si="0"/>
        <v>0</v>
      </c>
      <c r="H66" s="17">
        <f t="shared" si="0"/>
        <v>0</v>
      </c>
      <c r="I66" s="17">
        <f t="shared" si="0"/>
        <v>0</v>
      </c>
      <c r="J66" s="17">
        <f t="shared" si="0"/>
        <v>0</v>
      </c>
      <c r="K66" s="17">
        <f t="shared" si="0"/>
        <v>0</v>
      </c>
      <c r="L66" s="17">
        <f t="shared" si="0"/>
        <v>0</v>
      </c>
      <c r="M66" s="17">
        <f t="shared" si="0"/>
        <v>0</v>
      </c>
      <c r="N66" s="17">
        <f t="shared" si="0"/>
        <v>0</v>
      </c>
      <c r="O66" s="17">
        <f t="shared" si="0"/>
        <v>0</v>
      </c>
      <c r="P66" s="18">
        <f t="shared" si="0"/>
        <v>0</v>
      </c>
      <c r="Q66" s="2"/>
      <c r="R66" s="2"/>
      <c r="S66" s="2"/>
      <c r="T66" s="2"/>
      <c r="U66" s="2"/>
      <c r="V66" s="2"/>
      <c r="W66" s="2"/>
      <c r="X66" s="2"/>
      <c r="Y66" s="2"/>
      <c r="Z66" s="2"/>
    </row>
    <row r="67" spans="1:26" ht="12.75" customHeight="1" x14ac:dyDescent="0.25">
      <c r="A67" s="2" t="s">
        <v>102</v>
      </c>
      <c r="B67" s="19">
        <f t="shared" ref="B67:P67" si="1">MIN(B2:B64)</f>
        <v>5.6206507682800293</v>
      </c>
      <c r="C67" s="21">
        <f t="shared" si="1"/>
        <v>9.0225562453269958E-2</v>
      </c>
      <c r="D67" s="21">
        <f t="shared" si="1"/>
        <v>0.70588237047195435</v>
      </c>
      <c r="E67" s="21">
        <f t="shared" si="1"/>
        <v>0.64583331346511841</v>
      </c>
      <c r="F67" s="21">
        <f t="shared" si="1"/>
        <v>0.59302324056625366</v>
      </c>
      <c r="G67" s="21">
        <f t="shared" si="1"/>
        <v>0.64615386724472046</v>
      </c>
      <c r="H67" s="21">
        <f t="shared" si="1"/>
        <v>0.78217822313308716</v>
      </c>
      <c r="I67" s="21">
        <f t="shared" si="1"/>
        <v>0.62790697813034058</v>
      </c>
      <c r="J67" s="21">
        <f t="shared" si="1"/>
        <v>0.4038461446762085</v>
      </c>
      <c r="K67" s="21">
        <f t="shared" si="1"/>
        <v>0.40000000596046448</v>
      </c>
      <c r="L67" s="21">
        <f t="shared" si="1"/>
        <v>0.38461539149284363</v>
      </c>
      <c r="M67" s="21">
        <f t="shared" si="1"/>
        <v>0</v>
      </c>
      <c r="N67" s="21">
        <f t="shared" si="1"/>
        <v>6.4516128040850163E-3</v>
      </c>
      <c r="O67" s="21">
        <f t="shared" si="1"/>
        <v>0</v>
      </c>
      <c r="P67" s="22">
        <f t="shared" si="1"/>
        <v>3</v>
      </c>
      <c r="Q67" s="2"/>
      <c r="R67" s="2"/>
      <c r="S67" s="2"/>
      <c r="T67" s="2"/>
      <c r="U67" s="2"/>
      <c r="V67" s="2"/>
      <c r="W67" s="2"/>
      <c r="X67" s="2"/>
      <c r="Y67" s="2"/>
      <c r="Z67" s="2"/>
    </row>
    <row r="68" spans="1:26" ht="12.75" customHeight="1" x14ac:dyDescent="0.25">
      <c r="A68" s="2" t="s">
        <v>103</v>
      </c>
      <c r="B68" s="19">
        <f t="shared" ref="B68:P68" si="2">MEDIAN(B2:B64)</f>
        <v>7.4455842971801758</v>
      </c>
      <c r="C68" s="21">
        <f t="shared" si="2"/>
        <v>0.23723722994327545</v>
      </c>
      <c r="D68" s="21">
        <f t="shared" si="2"/>
        <v>0.8403361439704895</v>
      </c>
      <c r="E68" s="21">
        <f t="shared" si="2"/>
        <v>0.77777779102325439</v>
      </c>
      <c r="F68" s="21">
        <f t="shared" si="2"/>
        <v>0.78787881135940552</v>
      </c>
      <c r="G68" s="21">
        <f t="shared" si="2"/>
        <v>0.77536231279373169</v>
      </c>
      <c r="H68" s="21">
        <f t="shared" si="2"/>
        <v>0.91428571939468384</v>
      </c>
      <c r="I68" s="21">
        <f t="shared" si="2"/>
        <v>0.82857143878936768</v>
      </c>
      <c r="J68" s="21">
        <f t="shared" si="2"/>
        <v>0.79104477167129517</v>
      </c>
      <c r="K68" s="21">
        <f t="shared" si="2"/>
        <v>0.78947371244430542</v>
      </c>
      <c r="L68" s="21">
        <f t="shared" si="2"/>
        <v>0.78431373834609985</v>
      </c>
      <c r="M68" s="21">
        <f t="shared" si="2"/>
        <v>0.2222222238779068</v>
      </c>
      <c r="N68" s="21">
        <f t="shared" si="2"/>
        <v>5.3435113281011581E-2</v>
      </c>
      <c r="O68" s="21">
        <f t="shared" si="2"/>
        <v>8.510638028383255E-2</v>
      </c>
      <c r="P68" s="22">
        <f t="shared" si="2"/>
        <v>24</v>
      </c>
      <c r="Q68" s="2"/>
      <c r="R68" s="2"/>
      <c r="S68" s="2"/>
      <c r="T68" s="2"/>
      <c r="U68" s="2"/>
      <c r="V68" s="2"/>
      <c r="W68" s="2"/>
      <c r="X68" s="2"/>
      <c r="Y68" s="2"/>
      <c r="Z68" s="2"/>
    </row>
    <row r="69" spans="1:26" ht="12.75" customHeight="1" x14ac:dyDescent="0.25">
      <c r="A69" s="2" t="s">
        <v>104</v>
      </c>
      <c r="B69" s="19">
        <f t="shared" ref="B69:P69" si="3">MAX(B2:B64)</f>
        <v>8.7928590774536133</v>
      </c>
      <c r="C69" s="21">
        <f t="shared" si="3"/>
        <v>0.38738739490509033</v>
      </c>
      <c r="D69" s="21">
        <f t="shared" si="3"/>
        <v>0.94488191604614258</v>
      </c>
      <c r="E69" s="21">
        <f t="shared" si="3"/>
        <v>0.96062994003295898</v>
      </c>
      <c r="F69" s="21">
        <f t="shared" si="3"/>
        <v>0.96850395202636719</v>
      </c>
      <c r="G69" s="21">
        <f t="shared" si="3"/>
        <v>0.9529411792755127</v>
      </c>
      <c r="H69" s="21">
        <f t="shared" si="3"/>
        <v>0.98639458417892456</v>
      </c>
      <c r="I69" s="21">
        <f t="shared" si="3"/>
        <v>0.9370078444480896</v>
      </c>
      <c r="J69" s="21">
        <f t="shared" si="3"/>
        <v>0.93103450536727905</v>
      </c>
      <c r="K69" s="21">
        <f t="shared" si="3"/>
        <v>0.93103450536727905</v>
      </c>
      <c r="L69" s="21">
        <f t="shared" si="3"/>
        <v>0.92592591047286987</v>
      </c>
      <c r="M69" s="21">
        <f t="shared" si="3"/>
        <v>0.4375</v>
      </c>
      <c r="N69" s="21">
        <f t="shared" si="3"/>
        <v>0.18811881542205811</v>
      </c>
      <c r="O69" s="21">
        <f t="shared" si="3"/>
        <v>0.19607843458652496</v>
      </c>
      <c r="P69" s="22">
        <f t="shared" si="3"/>
        <v>80</v>
      </c>
      <c r="Q69" s="2"/>
      <c r="R69" s="2"/>
      <c r="S69" s="2"/>
      <c r="T69" s="2"/>
      <c r="U69" s="2"/>
      <c r="V69" s="2"/>
      <c r="W69" s="2"/>
      <c r="X69" s="2"/>
      <c r="Y69" s="2"/>
      <c r="Z69" s="2"/>
    </row>
    <row r="70" spans="1:26" ht="12.75" customHeight="1" x14ac:dyDescent="0.25">
      <c r="A70" s="2" t="s">
        <v>105</v>
      </c>
      <c r="B70" s="10" t="e">
        <f>RANK(B66,B2:B64,0)</f>
        <v>#N/A</v>
      </c>
      <c r="C70" s="10" t="e">
        <f>RANK(C66,C2:C64,1)</f>
        <v>#N/A</v>
      </c>
      <c r="D70" s="10" t="e">
        <f t="shared" ref="D70:L70" si="4">RANK(D66,D2:D64,0)</f>
        <v>#N/A</v>
      </c>
      <c r="E70" s="10" t="e">
        <f t="shared" si="4"/>
        <v>#N/A</v>
      </c>
      <c r="F70" s="10" t="e">
        <f t="shared" si="4"/>
        <v>#N/A</v>
      </c>
      <c r="G70" s="10" t="e">
        <f t="shared" si="4"/>
        <v>#N/A</v>
      </c>
      <c r="H70" s="10" t="e">
        <f t="shared" si="4"/>
        <v>#N/A</v>
      </c>
      <c r="I70" s="10" t="e">
        <f t="shared" si="4"/>
        <v>#N/A</v>
      </c>
      <c r="J70" s="10" t="e">
        <f t="shared" si="4"/>
        <v>#N/A</v>
      </c>
      <c r="K70" s="10" t="e">
        <f t="shared" si="4"/>
        <v>#N/A</v>
      </c>
      <c r="L70" s="10" t="e">
        <f t="shared" si="4"/>
        <v>#N/A</v>
      </c>
      <c r="M70" s="10">
        <f t="shared" ref="M70:P70" si="5">RANK(M66,M2:M64,1)</f>
        <v>1</v>
      </c>
      <c r="N70" s="10" t="e">
        <f t="shared" si="5"/>
        <v>#N/A</v>
      </c>
      <c r="O70" s="10">
        <f t="shared" si="5"/>
        <v>1</v>
      </c>
      <c r="P70" s="10" t="e">
        <f t="shared" si="5"/>
        <v>#N/A</v>
      </c>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2" width="16.42578125" customWidth="1"/>
    <col min="3" max="3" width="13" customWidth="1"/>
    <col min="4" max="4" width="26.42578125" customWidth="1"/>
    <col min="5" max="5" width="21.7109375" customWidth="1"/>
    <col min="6" max="7" width="16.42578125" customWidth="1"/>
    <col min="8" max="8" width="20" customWidth="1"/>
    <col min="9" max="9" width="24.42578125" customWidth="1"/>
    <col min="10" max="10" width="21.7109375" customWidth="1"/>
    <col min="11" max="11" width="18" customWidth="1"/>
    <col min="12" max="13" width="16.42578125" customWidth="1"/>
    <col min="14" max="14" width="18.42578125" customWidth="1"/>
    <col min="15" max="15" width="16.42578125" customWidth="1"/>
    <col min="16" max="16" width="18.7109375" customWidth="1"/>
    <col min="17" max="17" width="16.42578125" customWidth="1"/>
    <col min="18" max="18" width="26.42578125" customWidth="1"/>
    <col min="19" max="19" width="35.7109375" customWidth="1"/>
    <col min="20" max="26" width="8.7109375" customWidth="1"/>
  </cols>
  <sheetData>
    <row r="1" spans="1:26" ht="51" customHeight="1" x14ac:dyDescent="0.25">
      <c r="A1" s="23" t="s">
        <v>0</v>
      </c>
      <c r="B1" s="24" t="s">
        <v>5</v>
      </c>
      <c r="C1" s="23" t="s">
        <v>152</v>
      </c>
      <c r="D1" s="23" t="s">
        <v>153</v>
      </c>
      <c r="E1" s="23" t="s">
        <v>154</v>
      </c>
      <c r="F1" s="23" t="s">
        <v>155</v>
      </c>
      <c r="G1" s="23" t="s">
        <v>156</v>
      </c>
      <c r="H1" s="23" t="s">
        <v>157</v>
      </c>
      <c r="I1" s="23" t="s">
        <v>158</v>
      </c>
      <c r="J1" s="23" t="s">
        <v>159</v>
      </c>
      <c r="K1" s="23" t="s">
        <v>160</v>
      </c>
      <c r="L1" s="23" t="s">
        <v>161</v>
      </c>
      <c r="M1" s="23" t="s">
        <v>162</v>
      </c>
      <c r="N1" s="23" t="s">
        <v>163</v>
      </c>
      <c r="O1" s="23" t="s">
        <v>164</v>
      </c>
      <c r="P1" s="23" t="s">
        <v>165</v>
      </c>
      <c r="Q1" s="23" t="s">
        <v>166</v>
      </c>
      <c r="R1" s="23" t="s">
        <v>167</v>
      </c>
      <c r="S1" s="1" t="s">
        <v>13</v>
      </c>
      <c r="T1" s="2"/>
      <c r="U1" s="2"/>
      <c r="V1" s="2"/>
      <c r="W1" s="2"/>
      <c r="X1" s="2"/>
      <c r="Y1" s="2"/>
      <c r="Z1" s="2"/>
    </row>
    <row r="2" spans="1:26" ht="12.75" customHeight="1" x14ac:dyDescent="0.25">
      <c r="A2" s="2" t="s">
        <v>14</v>
      </c>
      <c r="B2" s="26">
        <v>6.904393196105957</v>
      </c>
      <c r="C2" s="21">
        <v>0.34146341681480408</v>
      </c>
      <c r="D2" s="21">
        <v>0.55357140302658081</v>
      </c>
      <c r="E2" s="21">
        <v>0.61788618564605713</v>
      </c>
      <c r="F2" s="21">
        <v>0.6875</v>
      </c>
      <c r="G2" s="21">
        <v>8.0645158886909485E-2</v>
      </c>
      <c r="H2" s="21">
        <v>0</v>
      </c>
      <c r="I2" s="21">
        <v>0.5</v>
      </c>
      <c r="J2" s="21">
        <v>0.31460675597190857</v>
      </c>
      <c r="K2" s="21">
        <v>0.47222220897674561</v>
      </c>
      <c r="L2" s="21">
        <v>0.29411765933036804</v>
      </c>
      <c r="M2" s="21">
        <v>0.40860214829444885</v>
      </c>
      <c r="N2" s="21">
        <v>0.21621622145175934</v>
      </c>
      <c r="O2" s="21">
        <v>1.6806723549962044E-2</v>
      </c>
      <c r="P2" s="21">
        <v>0.45454546809196472</v>
      </c>
      <c r="Q2" s="21">
        <v>0.3333333432674408</v>
      </c>
      <c r="R2" s="21">
        <v>0.51666665077209473</v>
      </c>
      <c r="S2" s="2" t="s">
        <v>15</v>
      </c>
      <c r="T2" s="2"/>
      <c r="U2" s="2"/>
      <c r="V2" s="2"/>
      <c r="W2" s="2"/>
      <c r="X2" s="2"/>
      <c r="Y2" s="2"/>
      <c r="Z2" s="2"/>
    </row>
    <row r="3" spans="1:26" ht="12.75" customHeight="1" x14ac:dyDescent="0.25">
      <c r="A3" s="2" t="s">
        <v>29</v>
      </c>
      <c r="B3" s="26">
        <v>7.1942787170410156</v>
      </c>
      <c r="C3" s="21">
        <v>0.39849624037742615</v>
      </c>
      <c r="D3" s="21">
        <v>0.66666668653488159</v>
      </c>
      <c r="E3" s="21">
        <v>0.71969699859619141</v>
      </c>
      <c r="F3" s="21">
        <v>0.83333331346511841</v>
      </c>
      <c r="G3" s="21">
        <v>0.15999999642372131</v>
      </c>
      <c r="H3" s="21">
        <v>5.2631579339504242E-2</v>
      </c>
      <c r="I3" s="21">
        <v>0.37037035822868347</v>
      </c>
      <c r="J3" s="21">
        <v>0.2410714328289032</v>
      </c>
      <c r="K3" s="21">
        <v>0.63333332538604736</v>
      </c>
      <c r="L3" s="21">
        <v>0.24509803950786591</v>
      </c>
      <c r="M3" s="21">
        <v>0.38461539149284363</v>
      </c>
      <c r="N3" s="21">
        <v>0.12765957415103912</v>
      </c>
      <c r="O3" s="21">
        <v>7.6923076994717121E-3</v>
      </c>
      <c r="P3" s="21">
        <v>0.63157892227172852</v>
      </c>
      <c r="Q3" s="21">
        <v>0.22413793206214905</v>
      </c>
      <c r="R3" s="21">
        <v>0.34210526943206787</v>
      </c>
      <c r="S3" s="2" t="s">
        <v>24</v>
      </c>
      <c r="T3" s="2"/>
      <c r="U3" s="2"/>
      <c r="V3" s="2"/>
      <c r="W3" s="2"/>
      <c r="X3" s="2"/>
      <c r="Y3" s="2"/>
      <c r="Z3" s="2"/>
    </row>
    <row r="4" spans="1:26" ht="12.75" customHeight="1" x14ac:dyDescent="0.25">
      <c r="A4" s="2" t="s">
        <v>17</v>
      </c>
      <c r="B4" s="26">
        <v>7.2609481811523438</v>
      </c>
      <c r="C4" s="21">
        <v>0.32330825924873352</v>
      </c>
      <c r="D4" s="21">
        <v>0.60465115308761597</v>
      </c>
      <c r="E4" s="21">
        <v>0.66412216424942017</v>
      </c>
      <c r="F4" s="21">
        <v>0.89795917272567749</v>
      </c>
      <c r="G4" s="21">
        <v>0.18867924809455872</v>
      </c>
      <c r="H4" s="21">
        <v>0.3928571343421936</v>
      </c>
      <c r="I4" s="21">
        <v>0.46666666865348816</v>
      </c>
      <c r="J4" s="21">
        <v>0.30188679695129395</v>
      </c>
      <c r="K4" s="21">
        <v>0.37931033968925476</v>
      </c>
      <c r="L4" s="21">
        <v>0.15789473056793213</v>
      </c>
      <c r="M4" s="21">
        <v>0.28070175647735596</v>
      </c>
      <c r="N4" s="21">
        <v>0.17241379618644714</v>
      </c>
      <c r="O4" s="21">
        <v>0</v>
      </c>
      <c r="P4" s="21">
        <v>0.72727274894714355</v>
      </c>
      <c r="Q4" s="21">
        <v>0.19298245012760162</v>
      </c>
      <c r="R4" s="21">
        <v>0.34146341681480408</v>
      </c>
      <c r="S4" s="2" t="s">
        <v>18</v>
      </c>
      <c r="T4" s="2"/>
      <c r="U4" s="2"/>
      <c r="V4" s="2"/>
      <c r="W4" s="2"/>
      <c r="X4" s="2"/>
      <c r="Y4" s="2"/>
      <c r="Z4" s="2"/>
    </row>
    <row r="5" spans="1:26" ht="12.75" customHeight="1" x14ac:dyDescent="0.25">
      <c r="A5" s="2" t="s">
        <v>19</v>
      </c>
      <c r="B5" s="26">
        <v>5.9044303894042969</v>
      </c>
      <c r="C5" s="21">
        <v>0.58974361419677734</v>
      </c>
      <c r="D5" s="21">
        <v>0.68627452850341797</v>
      </c>
      <c r="E5" s="21">
        <v>0.62820512056350708</v>
      </c>
      <c r="F5" s="21">
        <v>0.80303031206130981</v>
      </c>
      <c r="G5" s="21">
        <v>0.34146341681480408</v>
      </c>
      <c r="H5" s="21">
        <v>0.70588237047195435</v>
      </c>
      <c r="I5" s="21">
        <v>0.5</v>
      </c>
      <c r="J5" s="21">
        <v>0.37999999523162842</v>
      </c>
      <c r="K5" s="21">
        <v>0.36363637447357178</v>
      </c>
      <c r="L5" s="21">
        <v>0.31372550129890442</v>
      </c>
      <c r="M5" s="21">
        <v>0.52857142686843872</v>
      </c>
      <c r="N5" s="21">
        <v>0.34482759237289429</v>
      </c>
      <c r="O5" s="21">
        <v>3.8461539894342422E-2</v>
      </c>
      <c r="P5" s="21">
        <v>0.75</v>
      </c>
      <c r="Q5" s="21">
        <v>0.61290323734283447</v>
      </c>
      <c r="R5" s="21">
        <v>0.53125</v>
      </c>
      <c r="S5" s="2" t="s">
        <v>18</v>
      </c>
      <c r="T5" s="2"/>
      <c r="U5" s="2"/>
      <c r="V5" s="2"/>
      <c r="W5" s="2"/>
      <c r="X5" s="2"/>
      <c r="Y5" s="2"/>
      <c r="Z5" s="2"/>
    </row>
    <row r="6" spans="1:26" ht="12.75" customHeight="1" x14ac:dyDescent="0.25">
      <c r="A6" s="2" t="s">
        <v>16</v>
      </c>
      <c r="B6" s="26">
        <v>6.0780320167541504</v>
      </c>
      <c r="C6" s="21">
        <v>0.58163267374038696</v>
      </c>
      <c r="D6" s="21">
        <v>0.30263158679008484</v>
      </c>
      <c r="E6" s="21">
        <v>0.76999998092651367</v>
      </c>
      <c r="F6" s="21">
        <v>0.87096774578094482</v>
      </c>
      <c r="G6" s="21">
        <v>0.640625</v>
      </c>
      <c r="H6" s="21">
        <v>0.375</v>
      </c>
      <c r="I6" s="21">
        <v>0.90163934230804443</v>
      </c>
      <c r="J6" s="21">
        <v>0.63529413938522339</v>
      </c>
      <c r="K6" s="21">
        <v>0.77419352531433105</v>
      </c>
      <c r="L6" s="21">
        <v>0.57142859697341919</v>
      </c>
      <c r="M6" s="21">
        <v>0.21739129722118378</v>
      </c>
      <c r="N6" s="21">
        <v>0.35897436738014221</v>
      </c>
      <c r="O6" s="21">
        <v>0</v>
      </c>
      <c r="P6" s="21">
        <v>0.4285714328289032</v>
      </c>
      <c r="Q6" s="21">
        <v>0.52112674713134766</v>
      </c>
      <c r="R6" s="21">
        <v>0.22388060390949249</v>
      </c>
      <c r="S6" s="2" t="s">
        <v>15</v>
      </c>
      <c r="T6" s="2"/>
      <c r="U6" s="2"/>
      <c r="V6" s="2"/>
      <c r="W6" s="2"/>
      <c r="X6" s="2"/>
      <c r="Y6" s="2"/>
      <c r="Z6" s="2"/>
    </row>
    <row r="7" spans="1:26" ht="12.75" customHeight="1" x14ac:dyDescent="0.25">
      <c r="A7" s="2" t="s">
        <v>20</v>
      </c>
      <c r="B7" s="26">
        <v>6.583831787109375</v>
      </c>
      <c r="C7" s="21">
        <v>0.37254902720451355</v>
      </c>
      <c r="D7" s="21">
        <v>0.625</v>
      </c>
      <c r="E7" s="21">
        <v>0.84666669368743896</v>
      </c>
      <c r="F7" s="21">
        <v>0.76190477609634399</v>
      </c>
      <c r="G7" s="21">
        <v>0.23333333432674408</v>
      </c>
      <c r="H7" s="21">
        <v>0.1428571492433548</v>
      </c>
      <c r="I7" s="21">
        <v>0.46428570151329041</v>
      </c>
      <c r="J7" s="21">
        <v>0.23134328424930573</v>
      </c>
      <c r="K7" s="21">
        <v>0.70370370149612427</v>
      </c>
      <c r="L7" s="21">
        <v>0.19847328960895538</v>
      </c>
      <c r="M7" s="21">
        <v>0.33561643958091736</v>
      </c>
      <c r="N7" s="21">
        <v>0.13740457594394684</v>
      </c>
      <c r="O7" s="21">
        <v>5.9602648019790649E-2</v>
      </c>
      <c r="P7" s="21">
        <v>0.47058823704719543</v>
      </c>
      <c r="Q7" s="21">
        <v>0.20987653732299805</v>
      </c>
      <c r="R7" s="21">
        <v>0.40909090638160706</v>
      </c>
      <c r="S7" s="2" t="s">
        <v>21</v>
      </c>
      <c r="T7" s="2"/>
      <c r="U7" s="2"/>
      <c r="V7" s="2"/>
      <c r="W7" s="2"/>
      <c r="X7" s="2"/>
      <c r="Y7" s="2"/>
      <c r="Z7" s="2"/>
    </row>
    <row r="8" spans="1:26" ht="12.75" customHeight="1" x14ac:dyDescent="0.25">
      <c r="A8" s="2" t="s">
        <v>22</v>
      </c>
      <c r="B8" s="26">
        <v>6.987980842590332</v>
      </c>
      <c r="C8" s="21">
        <v>0.65413534641265869</v>
      </c>
      <c r="D8" s="21">
        <v>0.77142858505249023</v>
      </c>
      <c r="E8" s="21">
        <v>0.76865673065185547</v>
      </c>
      <c r="F8" s="21">
        <v>0.920634925365448</v>
      </c>
      <c r="G8" s="21">
        <v>0.19148936867713928</v>
      </c>
      <c r="H8" s="21">
        <v>0.5517241358757019</v>
      </c>
      <c r="I8" s="21">
        <v>0.46666666865348816</v>
      </c>
      <c r="J8" s="21">
        <v>0.14000000059604645</v>
      </c>
      <c r="K8" s="21">
        <v>0.35294118523597717</v>
      </c>
      <c r="L8" s="21">
        <v>0.14953270554542542</v>
      </c>
      <c r="M8" s="21">
        <v>0.67241376638412476</v>
      </c>
      <c r="N8" s="21">
        <v>0.1354166716337204</v>
      </c>
      <c r="O8" s="21">
        <v>0</v>
      </c>
      <c r="P8" s="21">
        <v>0.75</v>
      </c>
      <c r="Q8" s="21">
        <v>0.375</v>
      </c>
      <c r="R8" s="21">
        <v>0.24242424964904785</v>
      </c>
      <c r="S8" s="2" t="s">
        <v>15</v>
      </c>
      <c r="T8" s="2"/>
      <c r="U8" s="2"/>
      <c r="V8" s="2"/>
      <c r="W8" s="2"/>
      <c r="X8" s="2"/>
      <c r="Y8" s="2"/>
      <c r="Z8" s="2"/>
    </row>
    <row r="9" spans="1:26" ht="12.75" customHeight="1" x14ac:dyDescent="0.25">
      <c r="A9" s="2" t="s">
        <v>25</v>
      </c>
      <c r="B9" s="26">
        <v>6.7107477188110352</v>
      </c>
      <c r="C9" s="21">
        <v>0.38582676649093628</v>
      </c>
      <c r="D9" s="21">
        <v>0.359375</v>
      </c>
      <c r="E9" s="21">
        <v>0.51999998092651367</v>
      </c>
      <c r="F9" s="21">
        <v>0.875</v>
      </c>
      <c r="G9" s="21">
        <v>0.42592594027519226</v>
      </c>
      <c r="H9" s="21">
        <v>8.3333335816860199E-2</v>
      </c>
      <c r="I9" s="21">
        <v>0.625</v>
      </c>
      <c r="J9" s="21">
        <v>0.30841121077537537</v>
      </c>
      <c r="K9" s="21">
        <v>0.57142859697341919</v>
      </c>
      <c r="L9" s="21">
        <v>0.27835050225257874</v>
      </c>
      <c r="M9" s="21">
        <v>0.23232322931289673</v>
      </c>
      <c r="N9" s="21">
        <v>0.1428571492433548</v>
      </c>
      <c r="O9" s="21">
        <v>3.2000001519918442E-2</v>
      </c>
      <c r="P9" s="21">
        <v>0.54545456171035767</v>
      </c>
      <c r="Q9" s="21">
        <v>0.421875</v>
      </c>
      <c r="R9" s="21">
        <v>0.3461538553237915</v>
      </c>
      <c r="S9" s="2" t="s">
        <v>26</v>
      </c>
      <c r="T9" s="2"/>
      <c r="U9" s="2"/>
      <c r="V9" s="2"/>
      <c r="W9" s="2"/>
      <c r="X9" s="2"/>
      <c r="Y9" s="2"/>
      <c r="Z9" s="2"/>
    </row>
    <row r="10" spans="1:26" ht="12.75" customHeight="1" x14ac:dyDescent="0.25">
      <c r="A10" s="2" t="s">
        <v>23</v>
      </c>
      <c r="B10" s="26">
        <v>6.5323867797851563</v>
      </c>
      <c r="C10" s="21">
        <v>0.63736265897750854</v>
      </c>
      <c r="D10" s="21">
        <v>0.79166668653488159</v>
      </c>
      <c r="E10" s="21">
        <v>0.8087431788444519</v>
      </c>
      <c r="F10" s="21">
        <v>0.88095235824584961</v>
      </c>
      <c r="G10" s="21">
        <v>0.19696970283985138</v>
      </c>
      <c r="H10" s="21">
        <v>0.18181818723678589</v>
      </c>
      <c r="I10" s="21">
        <v>0.66666668653488159</v>
      </c>
      <c r="J10" s="21">
        <v>0.16783216595649719</v>
      </c>
      <c r="K10" s="21">
        <v>0.42105263471603394</v>
      </c>
      <c r="L10" s="21">
        <v>0.17266187071800232</v>
      </c>
      <c r="M10" s="21">
        <v>0.52121210098266602</v>
      </c>
      <c r="N10" s="21">
        <v>8.59375E-2</v>
      </c>
      <c r="O10" s="21">
        <v>2.247191034257412E-2</v>
      </c>
      <c r="P10" s="21">
        <v>0.60000002384185791</v>
      </c>
      <c r="Q10" s="21">
        <v>0.50769233703613281</v>
      </c>
      <c r="R10" s="21">
        <v>0.57692307233810425</v>
      </c>
      <c r="S10" s="2" t="s">
        <v>24</v>
      </c>
      <c r="T10" s="2"/>
      <c r="U10" s="2"/>
      <c r="V10" s="2"/>
      <c r="W10" s="2"/>
      <c r="X10" s="2"/>
      <c r="Y10" s="2"/>
      <c r="Z10" s="2"/>
    </row>
    <row r="11" spans="1:26" ht="12.75" customHeight="1" x14ac:dyDescent="0.25">
      <c r="A11" s="2" t="s">
        <v>27</v>
      </c>
      <c r="B11" s="26">
        <v>6.5995206832885742</v>
      </c>
      <c r="C11" s="21">
        <v>0.57281553745269775</v>
      </c>
      <c r="D11" s="21">
        <v>0.81818181276321411</v>
      </c>
      <c r="E11" s="21">
        <v>0.73529410362243652</v>
      </c>
      <c r="F11" s="21">
        <v>0.7976190447807312</v>
      </c>
      <c r="G11" s="21">
        <v>0.1388888955116272</v>
      </c>
      <c r="H11" s="21">
        <v>0.68421053886413574</v>
      </c>
      <c r="I11" s="21">
        <v>0.34999999403953552</v>
      </c>
      <c r="J11" s="21">
        <v>0.31034481525421143</v>
      </c>
      <c r="K11" s="21">
        <v>0.36363637447357178</v>
      </c>
      <c r="L11" s="21">
        <v>0.21794871985912323</v>
      </c>
      <c r="M11" s="21">
        <v>0.4583333432674408</v>
      </c>
      <c r="N11" s="21">
        <v>0.16049382090568542</v>
      </c>
      <c r="O11" s="21">
        <v>1.9801979884505272E-2</v>
      </c>
      <c r="P11" s="21">
        <v>0.60000002384185791</v>
      </c>
      <c r="Q11" s="21">
        <v>0.25</v>
      </c>
      <c r="R11" s="21">
        <v>0.59459459781646729</v>
      </c>
      <c r="S11" s="2" t="s">
        <v>24</v>
      </c>
      <c r="T11" s="2"/>
      <c r="U11" s="2"/>
      <c r="V11" s="2"/>
      <c r="W11" s="2"/>
      <c r="X11" s="2"/>
      <c r="Y11" s="2"/>
      <c r="Z11" s="2"/>
    </row>
    <row r="12" spans="1:26" ht="12.75" customHeight="1" x14ac:dyDescent="0.25">
      <c r="A12" s="2" t="s">
        <v>28</v>
      </c>
      <c r="B12" s="26">
        <v>7.260162353515625</v>
      </c>
      <c r="C12" s="21">
        <v>0.31730768084526062</v>
      </c>
      <c r="D12" s="21">
        <v>0.67272728681564331</v>
      </c>
      <c r="E12" s="21">
        <v>0.61904764175415039</v>
      </c>
      <c r="F12" s="21">
        <v>0.81720429658889771</v>
      </c>
      <c r="G12" s="21">
        <v>0.25423729419708252</v>
      </c>
      <c r="H12" s="21">
        <v>0</v>
      </c>
      <c r="I12" s="21">
        <v>0.3571428656578064</v>
      </c>
      <c r="J12" s="21">
        <v>0.28205129504203796</v>
      </c>
      <c r="K12" s="21">
        <v>0.43999999761581421</v>
      </c>
      <c r="L12" s="21">
        <v>0.3333333432674408</v>
      </c>
      <c r="M12" s="21">
        <v>0.42500001192092896</v>
      </c>
      <c r="N12" s="21">
        <v>0.18644067645072937</v>
      </c>
      <c r="O12" s="21">
        <v>0</v>
      </c>
      <c r="P12" s="21">
        <v>0.5</v>
      </c>
      <c r="Q12" s="21">
        <v>0.4375</v>
      </c>
      <c r="R12" s="21">
        <v>0.3958333432674408</v>
      </c>
      <c r="S12" s="2" t="s">
        <v>26</v>
      </c>
      <c r="T12" s="2"/>
      <c r="U12" s="2"/>
      <c r="V12" s="2"/>
      <c r="W12" s="2"/>
      <c r="X12" s="2"/>
      <c r="Y12" s="2"/>
      <c r="Z12" s="2"/>
    </row>
    <row r="13" spans="1:26" ht="12.75" customHeight="1" x14ac:dyDescent="0.25">
      <c r="A13" s="2" t="s">
        <v>30</v>
      </c>
      <c r="B13" s="26">
        <v>6.9269914627075195</v>
      </c>
      <c r="C13" s="21">
        <v>0.28947368264198303</v>
      </c>
      <c r="D13" s="21">
        <v>0.67346936464309692</v>
      </c>
      <c r="E13" s="21">
        <v>0.625</v>
      </c>
      <c r="F13" s="21">
        <v>0.80219781398773193</v>
      </c>
      <c r="G13" s="21">
        <v>0.15789473056793213</v>
      </c>
      <c r="H13" s="21">
        <v>0.1428571492433548</v>
      </c>
      <c r="I13" s="21">
        <v>0.40000000596046448</v>
      </c>
      <c r="J13" s="21">
        <v>0.28048780560493469</v>
      </c>
      <c r="K13" s="21">
        <v>0.28571429848670959</v>
      </c>
      <c r="L13" s="21">
        <v>0.25316455960273743</v>
      </c>
      <c r="M13" s="21">
        <v>0.3404255211353302</v>
      </c>
      <c r="N13" s="21">
        <v>0.20895522832870483</v>
      </c>
      <c r="O13" s="21">
        <v>4.5045044273138046E-2</v>
      </c>
      <c r="P13" s="21">
        <v>0.57142859697341919</v>
      </c>
      <c r="Q13" s="21">
        <v>0.34146341681480408</v>
      </c>
      <c r="R13" s="21">
        <v>0.5</v>
      </c>
      <c r="S13" s="2" t="s">
        <v>15</v>
      </c>
      <c r="T13" s="2"/>
      <c r="U13" s="2"/>
      <c r="V13" s="2"/>
      <c r="W13" s="2"/>
      <c r="X13" s="2"/>
      <c r="Y13" s="2"/>
      <c r="Z13" s="2"/>
    </row>
    <row r="14" spans="1:26" ht="12.75" customHeight="1" x14ac:dyDescent="0.25">
      <c r="A14" s="2" t="s">
        <v>32</v>
      </c>
      <c r="B14" s="26">
        <v>7.1973180770874023</v>
      </c>
      <c r="C14" s="21">
        <v>0.26056337356567383</v>
      </c>
      <c r="D14" s="21">
        <v>0.76923078298568726</v>
      </c>
      <c r="E14" s="21">
        <v>0.69999998807907104</v>
      </c>
      <c r="F14" s="21">
        <v>0.82291668653488159</v>
      </c>
      <c r="G14" s="21">
        <v>0.1607142835855484</v>
      </c>
      <c r="H14" s="21">
        <v>0.20588235557079315</v>
      </c>
      <c r="I14" s="21">
        <v>0.64150941371917725</v>
      </c>
      <c r="J14" s="21">
        <v>0.2689075767993927</v>
      </c>
      <c r="K14" s="21">
        <v>0.48648649454116821</v>
      </c>
      <c r="L14" s="21">
        <v>0.23076923191547394</v>
      </c>
      <c r="M14" s="21">
        <v>0.37903225421905518</v>
      </c>
      <c r="N14" s="21">
        <v>0.1304347813129425</v>
      </c>
      <c r="O14" s="21">
        <v>1.4705882407724857E-2</v>
      </c>
      <c r="P14" s="21">
        <v>0.38461539149284363</v>
      </c>
      <c r="Q14" s="21">
        <v>0.125</v>
      </c>
      <c r="R14" s="21">
        <v>0.64912283420562744</v>
      </c>
      <c r="S14" s="2" t="s">
        <v>15</v>
      </c>
      <c r="T14" s="2"/>
      <c r="U14" s="2"/>
      <c r="V14" s="2"/>
      <c r="W14" s="2"/>
      <c r="X14" s="2"/>
      <c r="Y14" s="2"/>
      <c r="Z14" s="2"/>
    </row>
    <row r="15" spans="1:26" ht="12.75" customHeight="1" x14ac:dyDescent="0.25">
      <c r="A15" s="2" t="s">
        <v>31</v>
      </c>
      <c r="B15" s="26">
        <v>6.5282926559448242</v>
      </c>
      <c r="C15" s="21">
        <v>0.43636363744735718</v>
      </c>
      <c r="D15" s="21">
        <v>0.60344827175140381</v>
      </c>
      <c r="E15" s="21">
        <v>0.74757283926010132</v>
      </c>
      <c r="F15" s="21">
        <v>0.76923078298568726</v>
      </c>
      <c r="G15" s="21">
        <v>0.23333333432674408</v>
      </c>
      <c r="H15" s="21">
        <v>0.16129031777381897</v>
      </c>
      <c r="I15" s="21">
        <v>0.46511629223823547</v>
      </c>
      <c r="J15" s="21">
        <v>0.19736842811107635</v>
      </c>
      <c r="K15" s="21">
        <v>0.25925925374031067</v>
      </c>
      <c r="L15" s="21">
        <v>0.1746031790971756</v>
      </c>
      <c r="M15" s="21">
        <v>0.19767442345619202</v>
      </c>
      <c r="N15" s="21">
        <v>0.26865673065185547</v>
      </c>
      <c r="O15" s="21">
        <v>8.3333335816860199E-2</v>
      </c>
      <c r="P15" s="21">
        <v>0.5</v>
      </c>
      <c r="Q15" s="21">
        <v>0.25641027092933655</v>
      </c>
      <c r="R15" s="21">
        <v>0.38461539149284363</v>
      </c>
      <c r="S15" s="2" t="s">
        <v>18</v>
      </c>
      <c r="T15" s="2"/>
      <c r="U15" s="2"/>
      <c r="V15" s="2"/>
      <c r="W15" s="2"/>
      <c r="X15" s="2"/>
      <c r="Y15" s="2"/>
      <c r="Z15" s="2"/>
    </row>
    <row r="16" spans="1:26" ht="12.75" customHeight="1" x14ac:dyDescent="0.25">
      <c r="A16" s="2" t="s">
        <v>33</v>
      </c>
      <c r="B16" s="26">
        <v>7.0995035171508789</v>
      </c>
      <c r="C16" s="21">
        <v>0.35555556416511536</v>
      </c>
      <c r="D16" s="21">
        <v>0.64210528135299683</v>
      </c>
      <c r="E16" s="21">
        <v>0.67796611785888672</v>
      </c>
      <c r="F16" s="21">
        <v>0.91095888614654541</v>
      </c>
      <c r="G16" s="21">
        <v>0.1964285671710968</v>
      </c>
      <c r="H16" s="21">
        <v>0.2916666567325592</v>
      </c>
      <c r="I16" s="21">
        <v>0.54545456171035767</v>
      </c>
      <c r="J16" s="21">
        <v>0.27848100662231445</v>
      </c>
      <c r="K16" s="21">
        <v>0.5</v>
      </c>
      <c r="L16" s="21">
        <v>0.21192052960395813</v>
      </c>
      <c r="M16" s="21">
        <v>0.34999999403953552</v>
      </c>
      <c r="N16" s="21">
        <v>0.13235294818878174</v>
      </c>
      <c r="O16" s="21">
        <v>2.3255813866853714E-2</v>
      </c>
      <c r="P16" s="21">
        <v>0.57142859697341919</v>
      </c>
      <c r="Q16" s="21">
        <v>0.20754717290401459</v>
      </c>
      <c r="R16" s="21">
        <v>0.44927537441253662</v>
      </c>
      <c r="S16" s="2" t="s">
        <v>26</v>
      </c>
      <c r="T16" s="2"/>
      <c r="U16" s="2"/>
      <c r="V16" s="2"/>
      <c r="W16" s="2"/>
      <c r="X16" s="2"/>
      <c r="Y16" s="2"/>
      <c r="Z16" s="2"/>
    </row>
    <row r="17" spans="1:26" ht="12.75" customHeight="1" x14ac:dyDescent="0.25">
      <c r="A17" s="2" t="s">
        <v>34</v>
      </c>
      <c r="B17" s="26">
        <v>6.8616580963134766</v>
      </c>
      <c r="C17" s="21">
        <v>0.34415584802627563</v>
      </c>
      <c r="D17" s="21">
        <v>0.52499997615814209</v>
      </c>
      <c r="E17" s="21">
        <v>0.67114096879959106</v>
      </c>
      <c r="F17" s="21">
        <v>0.86363637447357178</v>
      </c>
      <c r="G17" s="21">
        <v>0.33695653080940247</v>
      </c>
      <c r="H17" s="21">
        <v>0.125</v>
      </c>
      <c r="I17" s="21">
        <v>0.63043481111526489</v>
      </c>
      <c r="J17" s="21">
        <v>0.41509434580802917</v>
      </c>
      <c r="K17" s="21">
        <v>0.51999998092651367</v>
      </c>
      <c r="L17" s="21">
        <v>0.34408602118492126</v>
      </c>
      <c r="M17" s="21">
        <v>0.36567163467407227</v>
      </c>
      <c r="N17" s="21">
        <v>0.25</v>
      </c>
      <c r="O17" s="21">
        <v>1.2987012974917889E-2</v>
      </c>
      <c r="P17" s="21">
        <v>0.46666666865348816</v>
      </c>
      <c r="Q17" s="21">
        <v>0.31343284249305725</v>
      </c>
      <c r="R17" s="21">
        <v>0.43902438879013062</v>
      </c>
      <c r="S17" s="2" t="s">
        <v>35</v>
      </c>
      <c r="T17" s="2"/>
      <c r="U17" s="2"/>
      <c r="V17" s="2"/>
      <c r="W17" s="2"/>
      <c r="X17" s="2"/>
      <c r="Y17" s="2"/>
      <c r="Z17" s="2"/>
    </row>
    <row r="18" spans="1:26" ht="12.75" customHeight="1" x14ac:dyDescent="0.25">
      <c r="A18" s="2" t="s">
        <v>36</v>
      </c>
      <c r="B18" s="26">
        <v>6.7090463638305664</v>
      </c>
      <c r="C18" s="21">
        <v>0.44230768084526062</v>
      </c>
      <c r="D18" s="21">
        <v>0.69387757778167725</v>
      </c>
      <c r="E18" s="21">
        <v>0.7010309100151062</v>
      </c>
      <c r="F18" s="21">
        <v>0.80597013235092163</v>
      </c>
      <c r="G18" s="21">
        <v>0.36734694242477417</v>
      </c>
      <c r="H18" s="21">
        <v>0.69444441795349121</v>
      </c>
      <c r="I18" s="21">
        <v>0.48275861144065857</v>
      </c>
      <c r="J18" s="21">
        <v>0.26923078298568726</v>
      </c>
      <c r="K18" s="21">
        <v>0.21739129722118378</v>
      </c>
      <c r="L18" s="21">
        <v>0.22857142984867096</v>
      </c>
      <c r="M18" s="21">
        <v>0.37078651785850525</v>
      </c>
      <c r="N18" s="21">
        <v>0.1666666716337204</v>
      </c>
      <c r="O18" s="21">
        <v>1.9417475908994675E-2</v>
      </c>
      <c r="P18" s="21">
        <v>0.4444444477558136</v>
      </c>
      <c r="Q18" s="21">
        <v>0.3571428656578064</v>
      </c>
      <c r="R18" s="21">
        <v>0.46153846383094788</v>
      </c>
      <c r="S18" s="2" t="s">
        <v>35</v>
      </c>
      <c r="T18" s="2"/>
      <c r="U18" s="2"/>
      <c r="V18" s="2"/>
      <c r="W18" s="2"/>
      <c r="X18" s="2"/>
      <c r="Y18" s="2"/>
      <c r="Z18" s="2"/>
    </row>
    <row r="19" spans="1:26" ht="12.75" customHeight="1" x14ac:dyDescent="0.25">
      <c r="A19" s="2" t="s">
        <v>37</v>
      </c>
      <c r="B19" s="26">
        <v>6.3933858871459961</v>
      </c>
      <c r="C19" s="21">
        <v>0.35877862572669983</v>
      </c>
      <c r="D19" s="21">
        <v>0.54838711023330688</v>
      </c>
      <c r="E19" s="21">
        <v>0.67692309617996216</v>
      </c>
      <c r="F19" s="21">
        <v>0.77142858505249023</v>
      </c>
      <c r="G19" s="21">
        <v>0.2916666567325592</v>
      </c>
      <c r="H19" s="21">
        <v>0</v>
      </c>
      <c r="I19" s="21">
        <v>0.3404255211353302</v>
      </c>
      <c r="J19" s="21">
        <v>0.21686747670173645</v>
      </c>
      <c r="K19" s="21">
        <v>0.20588235557079315</v>
      </c>
      <c r="L19" s="21">
        <v>0.22988505661487579</v>
      </c>
      <c r="M19" s="21">
        <v>0.28181818127632141</v>
      </c>
      <c r="N19" s="21">
        <v>0.28395062685012817</v>
      </c>
      <c r="O19" s="21">
        <v>7.8740157186985016E-2</v>
      </c>
      <c r="P19" s="21">
        <v>0.625</v>
      </c>
      <c r="Q19" s="21">
        <v>0.23728813230991364</v>
      </c>
      <c r="R19" s="21">
        <v>0.50847458839416504</v>
      </c>
      <c r="S19" s="2" t="s">
        <v>18</v>
      </c>
      <c r="T19" s="2"/>
      <c r="U19" s="2"/>
      <c r="V19" s="2"/>
      <c r="W19" s="2"/>
      <c r="X19" s="2"/>
      <c r="Y19" s="2"/>
      <c r="Z19" s="2"/>
    </row>
    <row r="20" spans="1:26" ht="12.75" customHeight="1" x14ac:dyDescent="0.25">
      <c r="A20" s="2" t="s">
        <v>38</v>
      </c>
      <c r="B20" s="26">
        <v>6.3883028030395508</v>
      </c>
      <c r="C20" s="21">
        <v>0.46012270450592041</v>
      </c>
      <c r="D20" s="21">
        <v>0.63953489065170288</v>
      </c>
      <c r="E20" s="21">
        <v>0.73584908246994019</v>
      </c>
      <c r="F20" s="21">
        <v>0.82962960004806519</v>
      </c>
      <c r="G20" s="21">
        <v>0.421875</v>
      </c>
      <c r="H20" s="21">
        <v>0.6538461446762085</v>
      </c>
      <c r="I20" s="21">
        <v>0.66666668653488159</v>
      </c>
      <c r="J20" s="21">
        <v>0.265625</v>
      </c>
      <c r="K20" s="21">
        <v>0.48717948794364929</v>
      </c>
      <c r="L20" s="21">
        <v>0.24193547666072845</v>
      </c>
      <c r="M20" s="21">
        <v>0.33571428060531616</v>
      </c>
      <c r="N20" s="21">
        <v>0.20689655840396881</v>
      </c>
      <c r="O20" s="21">
        <v>1.875000074505806E-2</v>
      </c>
      <c r="P20" s="21">
        <v>0.66666668653488159</v>
      </c>
      <c r="Q20" s="21">
        <v>0.3125</v>
      </c>
      <c r="R20" s="21">
        <v>0.42307692766189575</v>
      </c>
      <c r="S20" s="2" t="s">
        <v>24</v>
      </c>
      <c r="T20" s="2"/>
      <c r="U20" s="2"/>
      <c r="V20" s="2"/>
      <c r="W20" s="2"/>
      <c r="X20" s="2"/>
      <c r="Y20" s="2"/>
      <c r="Z20" s="2"/>
    </row>
    <row r="21" spans="1:26" ht="12.75" customHeight="1" x14ac:dyDescent="0.25">
      <c r="A21" s="2" t="s">
        <v>39</v>
      </c>
      <c r="B21" s="26">
        <v>7.1378498077392578</v>
      </c>
      <c r="C21" s="21">
        <v>0.32173913717269897</v>
      </c>
      <c r="D21" s="21">
        <v>0.57142859697341919</v>
      </c>
      <c r="E21" s="21">
        <v>0.65517240762710571</v>
      </c>
      <c r="F21" s="21">
        <v>0.85106384754180908</v>
      </c>
      <c r="G21" s="21">
        <v>0.14516128599643707</v>
      </c>
      <c r="H21" s="21">
        <v>0.53333336114883423</v>
      </c>
      <c r="I21" s="21">
        <v>0.39534884691238403</v>
      </c>
      <c r="J21" s="21">
        <v>0.27058824896812439</v>
      </c>
      <c r="K21" s="21">
        <v>0.5</v>
      </c>
      <c r="L21" s="21">
        <v>0.17333333194255829</v>
      </c>
      <c r="M21" s="21">
        <v>0.3125</v>
      </c>
      <c r="N21" s="21">
        <v>0.21875</v>
      </c>
      <c r="O21" s="21">
        <v>1.8018018454313278E-2</v>
      </c>
      <c r="P21" s="21">
        <v>0.375</v>
      </c>
      <c r="Q21" s="21">
        <v>0.27586206793785095</v>
      </c>
      <c r="R21" s="21">
        <v>0.5</v>
      </c>
      <c r="S21" s="2" t="s">
        <v>15</v>
      </c>
      <c r="T21" s="2"/>
      <c r="U21" s="2"/>
      <c r="V21" s="2"/>
      <c r="W21" s="2"/>
      <c r="X21" s="2"/>
      <c r="Y21" s="2"/>
      <c r="Z21" s="2"/>
    </row>
    <row r="22" spans="1:26" ht="12.75" customHeight="1" x14ac:dyDescent="0.25">
      <c r="A22" s="2" t="s">
        <v>40</v>
      </c>
      <c r="B22" s="26">
        <v>6.1154794692993164</v>
      </c>
      <c r="C22" s="21">
        <v>0.55371898412704468</v>
      </c>
      <c r="D22" s="21">
        <v>0.68852460384368896</v>
      </c>
      <c r="E22" s="21">
        <v>0.75206613540649414</v>
      </c>
      <c r="F22" s="21">
        <v>0.77227723598480225</v>
      </c>
      <c r="G22" s="21">
        <v>0.27777779102325439</v>
      </c>
      <c r="H22" s="21">
        <v>0.2083333283662796</v>
      </c>
      <c r="I22" s="21">
        <v>0.4375</v>
      </c>
      <c r="J22" s="21">
        <v>0.3333333432674408</v>
      </c>
      <c r="K22" s="21">
        <v>0.55555558204650879</v>
      </c>
      <c r="L22" s="21">
        <v>0.2222222238779068</v>
      </c>
      <c r="M22" s="21">
        <v>0.36792454123497009</v>
      </c>
      <c r="N22" s="21">
        <v>0.19512194395065308</v>
      </c>
      <c r="O22" s="21">
        <v>5.2173912525177002E-2</v>
      </c>
      <c r="P22" s="21">
        <v>0.52380955219268799</v>
      </c>
      <c r="Q22" s="21">
        <v>0.54545456171035767</v>
      </c>
      <c r="R22" s="21">
        <v>0.60000002384185791</v>
      </c>
      <c r="S22" s="2" t="s">
        <v>35</v>
      </c>
      <c r="T22" s="2"/>
      <c r="U22" s="2"/>
      <c r="V22" s="2"/>
      <c r="W22" s="2"/>
      <c r="X22" s="2"/>
      <c r="Y22" s="2"/>
      <c r="Z22" s="2"/>
    </row>
    <row r="23" spans="1:26" ht="12.75" customHeight="1" x14ac:dyDescent="0.25">
      <c r="A23" s="2" t="s">
        <v>76</v>
      </c>
      <c r="B23" s="26">
        <v>6.5781946182250977</v>
      </c>
      <c r="C23" s="21">
        <v>0.3333333432674408</v>
      </c>
      <c r="D23" s="21">
        <v>0.40123456716537476</v>
      </c>
      <c r="E23" s="21">
        <v>0.63565891981124878</v>
      </c>
      <c r="F23" s="21">
        <v>0.83067095279693604</v>
      </c>
      <c r="G23" s="21">
        <v>0.3309859037399292</v>
      </c>
      <c r="H23" s="21">
        <v>0.31182795763015747</v>
      </c>
      <c r="I23" s="21">
        <v>0.77027028799057007</v>
      </c>
      <c r="J23" s="21">
        <v>0.26027396321296692</v>
      </c>
      <c r="K23" s="21">
        <v>0.51219511032104492</v>
      </c>
      <c r="L23" s="21">
        <v>0.19787986576557159</v>
      </c>
      <c r="M23" s="21">
        <v>0.33633634448051453</v>
      </c>
      <c r="N23" s="21">
        <v>0.19434629380702972</v>
      </c>
      <c r="O23" s="21">
        <v>2.813299186527729E-2</v>
      </c>
      <c r="P23" s="21">
        <v>0.54237288236618042</v>
      </c>
      <c r="Q23" s="21">
        <v>0.23270440101623535</v>
      </c>
      <c r="R23" s="21">
        <v>0.49375000596046448</v>
      </c>
      <c r="S23" s="2" t="s">
        <v>24</v>
      </c>
      <c r="T23" s="2"/>
      <c r="U23" s="2"/>
      <c r="V23" s="2"/>
      <c r="W23" s="2"/>
      <c r="X23" s="2"/>
      <c r="Y23" s="2"/>
      <c r="Z23" s="2"/>
    </row>
    <row r="24" spans="1:26" ht="12.75" customHeight="1" x14ac:dyDescent="0.25">
      <c r="A24" s="2" t="s">
        <v>41</v>
      </c>
      <c r="B24" s="26">
        <v>6.4755468368530273</v>
      </c>
      <c r="C24" s="21">
        <v>0.52999997138977051</v>
      </c>
      <c r="D24" s="21">
        <v>0.75</v>
      </c>
      <c r="E24" s="21">
        <v>0.69696968793869019</v>
      </c>
      <c r="F24" s="21">
        <v>0.81818181276321411</v>
      </c>
      <c r="G24" s="21">
        <v>0.34146341681480408</v>
      </c>
      <c r="H24" s="21">
        <v>0.375</v>
      </c>
      <c r="I24" s="21">
        <v>0.4375</v>
      </c>
      <c r="J24" s="21">
        <v>0.28571429848670959</v>
      </c>
      <c r="K24" s="21">
        <v>0.59090906381607056</v>
      </c>
      <c r="L24" s="21">
        <v>0.21621622145175934</v>
      </c>
      <c r="M24" s="21">
        <v>0.375</v>
      </c>
      <c r="N24" s="21">
        <v>0.25675675272941589</v>
      </c>
      <c r="O24" s="21">
        <v>5.1020409911870956E-2</v>
      </c>
      <c r="P24" s="21">
        <v>0.30000001192092896</v>
      </c>
      <c r="Q24" s="21">
        <v>0.4848484992980957</v>
      </c>
      <c r="R24" s="21">
        <v>0.5625</v>
      </c>
      <c r="S24" s="2" t="s">
        <v>18</v>
      </c>
      <c r="T24" s="2"/>
      <c r="U24" s="2"/>
      <c r="V24" s="2"/>
      <c r="W24" s="2"/>
      <c r="X24" s="2"/>
      <c r="Y24" s="2"/>
      <c r="Z24" s="2"/>
    </row>
    <row r="25" spans="1:26" ht="12.75" customHeight="1" x14ac:dyDescent="0.25">
      <c r="A25" s="2" t="s">
        <v>42</v>
      </c>
      <c r="B25" s="26">
        <v>7.0499777793884277</v>
      </c>
      <c r="C25" s="21">
        <v>0.33043476939201355</v>
      </c>
      <c r="D25" s="21">
        <v>0.546875</v>
      </c>
      <c r="E25" s="21">
        <v>0.54867255687713623</v>
      </c>
      <c r="F25" s="21">
        <v>0.89108908176422119</v>
      </c>
      <c r="G25" s="21">
        <v>0.3333333432674408</v>
      </c>
      <c r="H25" s="21">
        <v>0.35483869910240173</v>
      </c>
      <c r="I25" s="21">
        <v>0.56000000238418579</v>
      </c>
      <c r="J25" s="21">
        <v>0.13978494703769684</v>
      </c>
      <c r="K25" s="21">
        <v>0.29411765933036804</v>
      </c>
      <c r="L25" s="21">
        <v>0.22448979318141937</v>
      </c>
      <c r="M25" s="21">
        <v>0.28301885724067688</v>
      </c>
      <c r="N25" s="21">
        <v>0.2380952388048172</v>
      </c>
      <c r="O25" s="21">
        <v>3.5087719559669495E-2</v>
      </c>
      <c r="P25" s="21">
        <v>0.20000000298023224</v>
      </c>
      <c r="Q25" s="21">
        <v>0.23999999463558197</v>
      </c>
      <c r="R25" s="21">
        <v>0.65853661298751831</v>
      </c>
      <c r="S25" s="2" t="s">
        <v>21</v>
      </c>
      <c r="T25" s="2"/>
      <c r="U25" s="2"/>
      <c r="V25" s="2"/>
      <c r="W25" s="2"/>
      <c r="X25" s="2"/>
      <c r="Y25" s="2"/>
      <c r="Z25" s="2"/>
    </row>
    <row r="26" spans="1:26" ht="12.75" customHeight="1" x14ac:dyDescent="0.25">
      <c r="A26" s="2" t="s">
        <v>43</v>
      </c>
      <c r="B26" s="26">
        <v>6.7081241607666016</v>
      </c>
      <c r="C26" s="21">
        <v>0.39939025044441223</v>
      </c>
      <c r="D26" s="21">
        <v>0.63849765062332153</v>
      </c>
      <c r="E26" s="21">
        <v>0.76993864774703979</v>
      </c>
      <c r="F26" s="21">
        <v>0.81494659185409546</v>
      </c>
      <c r="G26" s="21">
        <v>0.19512194395065308</v>
      </c>
      <c r="H26" s="21">
        <v>0.18965516984462738</v>
      </c>
      <c r="I26" s="21">
        <v>0.61842107772827148</v>
      </c>
      <c r="J26" s="21">
        <v>0.22509224712848663</v>
      </c>
      <c r="K26" s="21">
        <v>0.71153843402862549</v>
      </c>
      <c r="L26" s="21">
        <v>0.29343628883361816</v>
      </c>
      <c r="M26" s="21">
        <v>0.39788731932640076</v>
      </c>
      <c r="N26" s="21">
        <v>0.20338982343673706</v>
      </c>
      <c r="O26" s="21">
        <v>9.4043882563710213E-3</v>
      </c>
      <c r="P26" s="21">
        <v>0.53333336114883423</v>
      </c>
      <c r="Q26" s="21">
        <v>0.34146341681480408</v>
      </c>
      <c r="R26" s="21">
        <v>0.56296294927597046</v>
      </c>
      <c r="S26" s="2" t="s">
        <v>21</v>
      </c>
      <c r="T26" s="2"/>
      <c r="U26" s="2"/>
      <c r="V26" s="2"/>
      <c r="W26" s="2"/>
      <c r="X26" s="2"/>
      <c r="Y26" s="2"/>
      <c r="Z26" s="2"/>
    </row>
    <row r="27" spans="1:26" ht="12.75" customHeight="1" x14ac:dyDescent="0.25">
      <c r="A27" s="2" t="s">
        <v>44</v>
      </c>
      <c r="B27" s="26">
        <v>6.048731803894043</v>
      </c>
      <c r="C27" s="21">
        <v>0.3671875</v>
      </c>
      <c r="D27" s="21">
        <v>0.43636363744735718</v>
      </c>
      <c r="E27" s="21">
        <v>0.77235770225524902</v>
      </c>
      <c r="F27" s="21">
        <v>0.72619044780731201</v>
      </c>
      <c r="G27" s="21">
        <v>0.36923077702522278</v>
      </c>
      <c r="H27" s="21">
        <v>0.46153846383094788</v>
      </c>
      <c r="I27" s="21">
        <v>0.55263155698776245</v>
      </c>
      <c r="J27" s="21">
        <v>0.2976190447807312</v>
      </c>
      <c r="K27" s="21">
        <v>0.58620691299438477</v>
      </c>
      <c r="L27" s="21">
        <v>0.2976190447807312</v>
      </c>
      <c r="M27" s="21">
        <v>0.43859648704528809</v>
      </c>
      <c r="N27" s="21">
        <v>0.38372093439102173</v>
      </c>
      <c r="O27" s="21">
        <v>3.9999999105930328E-2</v>
      </c>
      <c r="P27" s="21">
        <v>0.69999998807907104</v>
      </c>
      <c r="Q27" s="21">
        <v>0.34782609343528748</v>
      </c>
      <c r="R27" s="21">
        <v>0.34883719682693481</v>
      </c>
      <c r="S27" s="2" t="s">
        <v>26</v>
      </c>
      <c r="T27" s="2"/>
      <c r="U27" s="2"/>
      <c r="V27" s="2"/>
      <c r="W27" s="2"/>
      <c r="X27" s="2"/>
      <c r="Y27" s="2"/>
      <c r="Z27" s="2"/>
    </row>
    <row r="28" spans="1:26" ht="12.75" customHeight="1" x14ac:dyDescent="0.25">
      <c r="A28" s="2" t="s">
        <v>45</v>
      </c>
      <c r="B28" s="26">
        <v>7.0830049514770508</v>
      </c>
      <c r="C28" s="21">
        <v>0.22289156913757324</v>
      </c>
      <c r="D28" s="21">
        <v>0.5283018946647644</v>
      </c>
      <c r="E28" s="21">
        <v>0.5625</v>
      </c>
      <c r="F28" s="21">
        <v>0.75</v>
      </c>
      <c r="G28" s="21">
        <v>0.30188679695129395</v>
      </c>
      <c r="H28" s="21">
        <v>0</v>
      </c>
      <c r="I28" s="21">
        <v>0.5161290168762207</v>
      </c>
      <c r="J28" s="21">
        <v>0.28260868787765503</v>
      </c>
      <c r="K28" s="21">
        <v>0.53846156597137451</v>
      </c>
      <c r="L28" s="21">
        <v>0.20454545319080353</v>
      </c>
      <c r="M28" s="21">
        <v>0.38815790414810181</v>
      </c>
      <c r="N28" s="21">
        <v>0.18548387289047241</v>
      </c>
      <c r="O28" s="21">
        <v>1.2048192322254181E-2</v>
      </c>
      <c r="P28" s="21">
        <v>0.4285714328289032</v>
      </c>
      <c r="Q28" s="21">
        <v>0.11940298229455948</v>
      </c>
      <c r="R28" s="21">
        <v>0.5283018946647644</v>
      </c>
      <c r="S28" s="2" t="s">
        <v>21</v>
      </c>
      <c r="T28" s="2"/>
      <c r="U28" s="2"/>
      <c r="V28" s="2"/>
      <c r="W28" s="2"/>
      <c r="X28" s="2"/>
      <c r="Y28" s="2"/>
      <c r="Z28" s="2"/>
    </row>
    <row r="29" spans="1:26" ht="12.75" customHeight="1" x14ac:dyDescent="0.25">
      <c r="A29" s="2" t="s">
        <v>46</v>
      </c>
      <c r="B29" s="26">
        <v>7.6699466705322266</v>
      </c>
      <c r="C29" s="21">
        <v>0.31515151262283325</v>
      </c>
      <c r="D29" s="21">
        <v>0.79012346267700195</v>
      </c>
      <c r="E29" s="21">
        <v>0.68639051914215088</v>
      </c>
      <c r="F29" s="21">
        <v>0.90370368957519531</v>
      </c>
      <c r="G29" s="21">
        <v>9.375E-2</v>
      </c>
      <c r="H29" s="21">
        <v>0.28205129504203796</v>
      </c>
      <c r="I29" s="21">
        <v>0.40540540218353271</v>
      </c>
      <c r="J29" s="21">
        <v>0.23913043737411499</v>
      </c>
      <c r="K29" s="21">
        <v>0.53571426868438721</v>
      </c>
      <c r="L29" s="21">
        <v>0.25806450843811035</v>
      </c>
      <c r="M29" s="21">
        <v>0.40689656138420105</v>
      </c>
      <c r="N29" s="21">
        <v>0.15833333134651184</v>
      </c>
      <c r="O29" s="21">
        <v>5.000000074505806E-2</v>
      </c>
      <c r="P29" s="21">
        <v>0</v>
      </c>
      <c r="Q29" s="21">
        <v>0.30000001192092896</v>
      </c>
      <c r="R29" s="21">
        <v>0.43103447556495667</v>
      </c>
      <c r="S29" s="2" t="s">
        <v>21</v>
      </c>
      <c r="T29" s="2"/>
      <c r="U29" s="2"/>
      <c r="V29" s="2"/>
      <c r="W29" s="2"/>
      <c r="X29" s="2"/>
      <c r="Y29" s="2"/>
      <c r="Z29" s="2"/>
    </row>
    <row r="30" spans="1:26" ht="12.75" customHeight="1" x14ac:dyDescent="0.25">
      <c r="A30" s="2" t="s">
        <v>47</v>
      </c>
      <c r="B30" s="26">
        <v>6.9379692077636719</v>
      </c>
      <c r="C30" s="21">
        <v>0.61616164445877075</v>
      </c>
      <c r="D30" s="21">
        <v>0.65789473056793213</v>
      </c>
      <c r="E30" s="21">
        <v>0.76041668653488159</v>
      </c>
      <c r="F30" s="21">
        <v>0.85542166233062744</v>
      </c>
      <c r="G30" s="21">
        <v>0.1111111119389534</v>
      </c>
      <c r="H30" s="21">
        <v>0.18181818723678589</v>
      </c>
      <c r="I30" s="21">
        <v>0.40909090638160706</v>
      </c>
      <c r="J30" s="21">
        <v>0.24637681245803833</v>
      </c>
      <c r="K30" s="21">
        <v>0.46666666865348816</v>
      </c>
      <c r="L30" s="21">
        <v>0.21875</v>
      </c>
      <c r="M30" s="21">
        <v>0.31999999284744263</v>
      </c>
      <c r="N30" s="21">
        <v>0.2380952388048172</v>
      </c>
      <c r="O30" s="21">
        <v>3.0927835032343864E-2</v>
      </c>
      <c r="P30" s="21">
        <v>0.5</v>
      </c>
      <c r="Q30" s="21">
        <v>0.42307692766189575</v>
      </c>
      <c r="R30" s="21">
        <v>0.30303031206130981</v>
      </c>
      <c r="S30" s="2" t="s">
        <v>15</v>
      </c>
      <c r="T30" s="2"/>
      <c r="U30" s="2"/>
      <c r="V30" s="2"/>
      <c r="W30" s="2"/>
      <c r="X30" s="2"/>
      <c r="Y30" s="2"/>
      <c r="Z30" s="2"/>
    </row>
    <row r="31" spans="1:26" ht="12.75" customHeight="1" x14ac:dyDescent="0.25">
      <c r="A31" s="2" t="s">
        <v>48</v>
      </c>
      <c r="B31" s="26">
        <v>6.8516044616699219</v>
      </c>
      <c r="C31" s="21">
        <v>0.36893203854560852</v>
      </c>
      <c r="D31" s="21">
        <v>0.55102038383483887</v>
      </c>
      <c r="E31" s="21">
        <v>0.64077669382095337</v>
      </c>
      <c r="F31" s="21">
        <v>0.71604937314987183</v>
      </c>
      <c r="G31" s="21">
        <v>0.18644067645072937</v>
      </c>
      <c r="H31" s="21">
        <v>0.3125</v>
      </c>
      <c r="I31" s="21">
        <v>0.58333331346511841</v>
      </c>
      <c r="J31" s="21">
        <v>0.31884059309959412</v>
      </c>
      <c r="K31" s="21">
        <v>0.37837839126586914</v>
      </c>
      <c r="L31" s="21">
        <v>0.29310345649719238</v>
      </c>
      <c r="M31" s="21">
        <v>0.33750000596046448</v>
      </c>
      <c r="N31" s="21">
        <v>0.27692309021949768</v>
      </c>
      <c r="O31" s="21">
        <v>9.900989942252636E-3</v>
      </c>
      <c r="P31" s="21">
        <v>0.4444444477558136</v>
      </c>
      <c r="Q31" s="21">
        <v>0.21052631735801697</v>
      </c>
      <c r="R31" s="21">
        <v>0.4920634925365448</v>
      </c>
      <c r="S31" s="2" t="s">
        <v>18</v>
      </c>
      <c r="T31" s="2"/>
      <c r="U31" s="2"/>
      <c r="V31" s="2"/>
      <c r="W31" s="2"/>
      <c r="X31" s="2"/>
      <c r="Y31" s="2"/>
      <c r="Z31" s="2"/>
    </row>
    <row r="32" spans="1:26" ht="12.75" customHeight="1" x14ac:dyDescent="0.25">
      <c r="A32" s="2" t="s">
        <v>49</v>
      </c>
      <c r="B32" s="26">
        <v>7.3012218475341797</v>
      </c>
      <c r="C32" s="21">
        <v>0.26811593770980835</v>
      </c>
      <c r="D32" s="21">
        <v>0.44999998807907104</v>
      </c>
      <c r="E32" s="21">
        <v>0.64233577251434326</v>
      </c>
      <c r="F32" s="21">
        <v>0.88181817531585693</v>
      </c>
      <c r="G32" s="21">
        <v>0.14864864945411682</v>
      </c>
      <c r="H32" s="21">
        <v>0.3125</v>
      </c>
      <c r="I32" s="21">
        <v>0.76470589637756348</v>
      </c>
      <c r="J32" s="21">
        <v>0.18095238506793976</v>
      </c>
      <c r="K32" s="21">
        <v>0.3958333432674408</v>
      </c>
      <c r="L32" s="21">
        <v>0.24242424964904785</v>
      </c>
      <c r="M32" s="21">
        <v>0.28282827138900757</v>
      </c>
      <c r="N32" s="21">
        <v>0.20731706917285919</v>
      </c>
      <c r="O32" s="21">
        <v>2.9629629105329514E-2</v>
      </c>
      <c r="P32" s="21">
        <v>0.47999998927116394</v>
      </c>
      <c r="Q32" s="21">
        <v>0.1666666716337204</v>
      </c>
      <c r="R32" s="21">
        <v>0.28070175647735596</v>
      </c>
      <c r="S32" s="2" t="s">
        <v>21</v>
      </c>
      <c r="T32" s="2"/>
      <c r="U32" s="2"/>
      <c r="V32" s="2"/>
      <c r="W32" s="2"/>
      <c r="X32" s="2"/>
      <c r="Y32" s="2"/>
      <c r="Z32" s="2"/>
    </row>
    <row r="33" spans="1:26" ht="12.75" customHeight="1" x14ac:dyDescent="0.25">
      <c r="A33" s="2" t="s">
        <v>50</v>
      </c>
      <c r="B33" s="26">
        <v>6.4262685775756836</v>
      </c>
      <c r="C33" s="21">
        <v>0.46875</v>
      </c>
      <c r="D33" s="21">
        <v>0.65517240762710571</v>
      </c>
      <c r="E33" s="21">
        <v>0.70542633533477783</v>
      </c>
      <c r="F33" s="21">
        <v>0.88571429252624512</v>
      </c>
      <c r="G33" s="21">
        <v>0.5</v>
      </c>
      <c r="H33" s="21">
        <v>0.26666668057441711</v>
      </c>
      <c r="I33" s="21">
        <v>0.45714285969734192</v>
      </c>
      <c r="J33" s="21">
        <v>0.21212121844291687</v>
      </c>
      <c r="K33" s="21">
        <v>0.5</v>
      </c>
      <c r="L33" s="21">
        <v>0.18279570341110229</v>
      </c>
      <c r="M33" s="21">
        <v>0.32203391194343567</v>
      </c>
      <c r="N33" s="21">
        <v>0.1875</v>
      </c>
      <c r="O33" s="21">
        <v>4.6875E-2</v>
      </c>
      <c r="P33" s="21">
        <v>0.57142859697341919</v>
      </c>
      <c r="Q33" s="21">
        <v>0.5</v>
      </c>
      <c r="R33" s="21">
        <v>0.4285714328289032</v>
      </c>
      <c r="S33" s="2" t="s">
        <v>26</v>
      </c>
      <c r="T33" s="2"/>
      <c r="U33" s="2"/>
      <c r="V33" s="2"/>
      <c r="W33" s="2"/>
      <c r="X33" s="2"/>
      <c r="Y33" s="2"/>
      <c r="Z33" s="2"/>
    </row>
    <row r="34" spans="1:26" ht="12.75" customHeight="1" x14ac:dyDescent="0.25">
      <c r="A34" s="2" t="s">
        <v>51</v>
      </c>
      <c r="B34" s="26">
        <v>6.0803265571594238</v>
      </c>
      <c r="C34" s="21">
        <v>0.50420171022415161</v>
      </c>
      <c r="D34" s="21">
        <v>0.33750000596046448</v>
      </c>
      <c r="E34" s="21">
        <v>0.8403361439704895</v>
      </c>
      <c r="F34" s="21">
        <v>0.77906978130340576</v>
      </c>
      <c r="G34" s="21">
        <v>0.44615384936332703</v>
      </c>
      <c r="H34" s="21">
        <v>0.20000000298023224</v>
      </c>
      <c r="I34" s="21">
        <v>0.78846156597137451</v>
      </c>
      <c r="J34" s="21">
        <v>0.4523809552192688</v>
      </c>
      <c r="K34" s="21">
        <v>0.52631580829620361</v>
      </c>
      <c r="L34" s="21">
        <v>0.43820226192474365</v>
      </c>
      <c r="M34" s="21">
        <v>0.24242424964904785</v>
      </c>
      <c r="N34" s="21">
        <v>0.32307693362236023</v>
      </c>
      <c r="O34" s="21">
        <v>1.6806723549962044E-2</v>
      </c>
      <c r="P34" s="21">
        <v>0.4166666567325592</v>
      </c>
      <c r="Q34" s="21">
        <v>0.5</v>
      </c>
      <c r="R34" s="21">
        <v>0.3968254029750824</v>
      </c>
      <c r="S34" s="2" t="s">
        <v>15</v>
      </c>
      <c r="T34" s="2"/>
      <c r="U34" s="2"/>
      <c r="V34" s="2"/>
      <c r="W34" s="2"/>
      <c r="X34" s="2"/>
      <c r="Y34" s="2"/>
      <c r="Z34" s="2"/>
    </row>
    <row r="35" spans="1:26" ht="12.75" customHeight="1" x14ac:dyDescent="0.25">
      <c r="A35" s="2" t="s">
        <v>52</v>
      </c>
      <c r="B35" s="26">
        <v>6.7830123901367188</v>
      </c>
      <c r="C35" s="21">
        <v>0.47422680258750916</v>
      </c>
      <c r="D35" s="21">
        <v>0.746268630027771</v>
      </c>
      <c r="E35" s="21">
        <v>0.63999998569488525</v>
      </c>
      <c r="F35" s="21">
        <v>0.80232560634613037</v>
      </c>
      <c r="G35" s="21">
        <v>0.37931033968925476</v>
      </c>
      <c r="H35" s="21">
        <v>0.20000000298023224</v>
      </c>
      <c r="I35" s="21">
        <v>0.4166666567325592</v>
      </c>
      <c r="J35" s="21">
        <v>0.30158731341362</v>
      </c>
      <c r="K35" s="21">
        <v>0.51851850748062134</v>
      </c>
      <c r="L35" s="21">
        <v>0.25757575035095215</v>
      </c>
      <c r="M35" s="21">
        <v>0.5</v>
      </c>
      <c r="N35" s="21">
        <v>0.24074074625968933</v>
      </c>
      <c r="O35" s="21">
        <v>4.3956045061349869E-2</v>
      </c>
      <c r="P35" s="21">
        <v>0.38461539149284363</v>
      </c>
      <c r="Q35" s="21">
        <v>0.19230769574642181</v>
      </c>
      <c r="R35" s="21">
        <v>0.44186046719551086</v>
      </c>
      <c r="S35" s="2" t="s">
        <v>35</v>
      </c>
      <c r="T35" s="2"/>
      <c r="U35" s="2"/>
      <c r="V35" s="2"/>
      <c r="W35" s="2"/>
      <c r="X35" s="2"/>
      <c r="Y35" s="2"/>
      <c r="Z35" s="2"/>
    </row>
    <row r="36" spans="1:26" ht="12.75" customHeight="1" x14ac:dyDescent="0.25">
      <c r="A36" s="2" t="s">
        <v>53</v>
      </c>
      <c r="B36" s="26">
        <v>7.1602668762207031</v>
      </c>
      <c r="C36" s="21">
        <v>0.40196079015731812</v>
      </c>
      <c r="D36" s="21">
        <v>0.81132078170776367</v>
      </c>
      <c r="E36" s="21">
        <v>0.54807692766189575</v>
      </c>
      <c r="F36" s="21">
        <v>0.79069769382476807</v>
      </c>
      <c r="G36" s="21">
        <v>0.26229506731033325</v>
      </c>
      <c r="H36" s="21">
        <v>0</v>
      </c>
      <c r="I36" s="21">
        <v>0.74358975887298584</v>
      </c>
      <c r="J36" s="21">
        <v>0.27272728085517883</v>
      </c>
      <c r="K36" s="21">
        <v>0.43999999761581421</v>
      </c>
      <c r="L36" s="21">
        <v>0.31372550129890442</v>
      </c>
      <c r="M36" s="21">
        <v>0.3888888955116272</v>
      </c>
      <c r="N36" s="21">
        <v>0.37288135290145874</v>
      </c>
      <c r="O36" s="21">
        <v>5.1020409911870956E-2</v>
      </c>
      <c r="P36" s="21">
        <v>0.3333333432674408</v>
      </c>
      <c r="Q36" s="21">
        <v>0.25806450843811035</v>
      </c>
      <c r="R36" s="21">
        <v>0.34000000357627869</v>
      </c>
      <c r="S36" s="2" t="s">
        <v>18</v>
      </c>
      <c r="T36" s="2"/>
      <c r="U36" s="2"/>
      <c r="V36" s="2"/>
      <c r="W36" s="2"/>
      <c r="X36" s="2"/>
      <c r="Y36" s="2"/>
      <c r="Z36" s="2"/>
    </row>
    <row r="37" spans="1:26" ht="12.75" customHeight="1" x14ac:dyDescent="0.25">
      <c r="A37" s="2" t="s">
        <v>56</v>
      </c>
      <c r="B37" s="26">
        <v>6.7775216102600098</v>
      </c>
      <c r="C37" s="21">
        <v>0.3194444477558136</v>
      </c>
      <c r="D37" s="21">
        <v>0.32786884903907776</v>
      </c>
      <c r="E37" s="21">
        <v>0.62411350011825562</v>
      </c>
      <c r="F37" s="21">
        <v>0.79310345649719238</v>
      </c>
      <c r="G37" s="21">
        <v>0.22388060390949249</v>
      </c>
      <c r="H37" s="21">
        <v>0.40000000596046448</v>
      </c>
      <c r="I37" s="21">
        <v>0.76086956262588501</v>
      </c>
      <c r="J37" s="21">
        <v>0.37272727489471436</v>
      </c>
      <c r="K37" s="21">
        <v>0.53488373756408691</v>
      </c>
      <c r="L37" s="21">
        <v>0.29357796907424927</v>
      </c>
      <c r="M37" s="21">
        <v>0.3333333432674408</v>
      </c>
      <c r="N37" s="21">
        <v>0.20224718749523163</v>
      </c>
      <c r="O37" s="21">
        <v>6.9930069148540497E-3</v>
      </c>
      <c r="P37" s="21">
        <v>0.5</v>
      </c>
      <c r="Q37" s="21">
        <v>0.25</v>
      </c>
      <c r="R37" s="21">
        <v>0.40350878238677979</v>
      </c>
      <c r="S37" s="2" t="s">
        <v>35</v>
      </c>
      <c r="T37" s="2"/>
      <c r="U37" s="2"/>
      <c r="V37" s="2"/>
      <c r="W37" s="2"/>
      <c r="X37" s="2"/>
      <c r="Y37" s="2"/>
      <c r="Z37" s="2"/>
    </row>
    <row r="38" spans="1:26" ht="12.75" customHeight="1" x14ac:dyDescent="0.25">
      <c r="A38" s="2" t="s">
        <v>54</v>
      </c>
      <c r="B38" s="26">
        <v>7.5952825546264648</v>
      </c>
      <c r="C38" s="21">
        <v>0.26612904667854309</v>
      </c>
      <c r="D38" s="21">
        <v>0.68965518474578857</v>
      </c>
      <c r="E38" s="21">
        <v>0.5245901346206665</v>
      </c>
      <c r="F38" s="21">
        <v>0.76470589637756348</v>
      </c>
      <c r="G38" s="21">
        <v>0.1071428582072258</v>
      </c>
      <c r="H38" s="21">
        <v>7.6923079788684845E-2</v>
      </c>
      <c r="I38" s="21">
        <v>0.38709676265716553</v>
      </c>
      <c r="J38" s="21">
        <v>0.20588235557079315</v>
      </c>
      <c r="K38" s="21">
        <v>0.38709676265716553</v>
      </c>
      <c r="L38" s="21">
        <v>0.25531914830207825</v>
      </c>
      <c r="M38" s="21">
        <v>0.32758620381355286</v>
      </c>
      <c r="N38" s="21">
        <v>0.21590909361839294</v>
      </c>
      <c r="O38" s="21">
        <v>3.2520323991775513E-2</v>
      </c>
      <c r="P38" s="21">
        <v>0.46666666865348816</v>
      </c>
      <c r="Q38" s="21">
        <v>0.15909090638160706</v>
      </c>
      <c r="R38" s="21">
        <v>0.26229506731033325</v>
      </c>
      <c r="S38" s="2" t="s">
        <v>18</v>
      </c>
      <c r="T38" s="2"/>
      <c r="U38" s="2"/>
      <c r="V38" s="2"/>
      <c r="W38" s="2"/>
      <c r="X38" s="2"/>
      <c r="Y38" s="2"/>
      <c r="Z38" s="2"/>
    </row>
    <row r="39" spans="1:26" ht="12.75" customHeight="1" x14ac:dyDescent="0.25">
      <c r="A39" s="2" t="s">
        <v>55</v>
      </c>
      <c r="B39" s="26">
        <v>6.7091865539550781</v>
      </c>
      <c r="C39" s="21">
        <v>0.61000001430511475</v>
      </c>
      <c r="D39" s="21">
        <v>0.74137932062149048</v>
      </c>
      <c r="E39" s="21">
        <v>0.70588237047195435</v>
      </c>
      <c r="F39" s="21">
        <v>0.82608693838119507</v>
      </c>
      <c r="G39" s="21">
        <v>0.44897958636283875</v>
      </c>
      <c r="H39" s="21">
        <v>0.19230769574642181</v>
      </c>
      <c r="I39" s="21">
        <v>0.55555558204650879</v>
      </c>
      <c r="J39" s="21">
        <v>0.23999999463558197</v>
      </c>
      <c r="K39" s="21">
        <v>0.4482758641242981</v>
      </c>
      <c r="L39" s="21">
        <v>0.30666667222976685</v>
      </c>
      <c r="M39" s="21">
        <v>0.20987653732299805</v>
      </c>
      <c r="N39" s="21">
        <v>0.30985915660858154</v>
      </c>
      <c r="O39" s="21">
        <v>0</v>
      </c>
      <c r="P39" s="21">
        <v>0.51724135875701904</v>
      </c>
      <c r="Q39" s="21">
        <v>0.58139532804489136</v>
      </c>
      <c r="R39" s="21">
        <v>0.34375</v>
      </c>
      <c r="S39" s="2" t="s">
        <v>18</v>
      </c>
      <c r="T39" s="2"/>
      <c r="U39" s="2"/>
      <c r="V39" s="2"/>
      <c r="W39" s="2"/>
      <c r="X39" s="2"/>
      <c r="Y39" s="2"/>
      <c r="Z39" s="2"/>
    </row>
    <row r="40" spans="1:26" ht="12.75" customHeight="1" x14ac:dyDescent="0.25">
      <c r="A40" s="2" t="s">
        <v>57</v>
      </c>
      <c r="B40" s="26">
        <v>7.3948698043823242</v>
      </c>
      <c r="C40" s="21">
        <v>0.32258063554763794</v>
      </c>
      <c r="D40" s="21">
        <v>0.63043481111526489</v>
      </c>
      <c r="E40" s="21">
        <v>0.64516127109527588</v>
      </c>
      <c r="F40" s="21">
        <v>0.92500001192092896</v>
      </c>
      <c r="G40" s="21">
        <v>0.21568627655506134</v>
      </c>
      <c r="H40" s="21">
        <v>0.10526315867900848</v>
      </c>
      <c r="I40" s="21">
        <v>0.625</v>
      </c>
      <c r="J40" s="21">
        <v>0.24731183052062988</v>
      </c>
      <c r="K40" s="21">
        <v>0.48148149251937866</v>
      </c>
      <c r="L40" s="21">
        <v>0.18888889253139496</v>
      </c>
      <c r="M40" s="21">
        <v>0.31067961454391479</v>
      </c>
      <c r="N40" s="21">
        <v>0.16455696523189545</v>
      </c>
      <c r="O40" s="21">
        <v>1.6806723549962044E-2</v>
      </c>
      <c r="P40" s="21">
        <v>0.40000000596046448</v>
      </c>
      <c r="Q40" s="21">
        <v>0.37209302186965942</v>
      </c>
      <c r="R40" s="21">
        <v>0.39130434393882751</v>
      </c>
      <c r="S40" s="2" t="s">
        <v>15</v>
      </c>
      <c r="T40" s="2"/>
      <c r="U40" s="2"/>
      <c r="V40" s="2"/>
      <c r="W40" s="2"/>
      <c r="X40" s="2"/>
      <c r="Y40" s="2"/>
      <c r="Z40" s="2"/>
    </row>
    <row r="41" spans="1:26" ht="12.75" customHeight="1" x14ac:dyDescent="0.25">
      <c r="A41" s="2" t="s">
        <v>58</v>
      </c>
      <c r="B41" s="26">
        <v>6.7824058532714844</v>
      </c>
      <c r="C41" s="21">
        <v>0.2638888955116272</v>
      </c>
      <c r="D41" s="21">
        <v>0.5961538553237915</v>
      </c>
      <c r="E41" s="21">
        <v>0.60139858722686768</v>
      </c>
      <c r="F41" s="21">
        <v>0.79090911149978638</v>
      </c>
      <c r="G41" s="21">
        <v>0.36065572500228882</v>
      </c>
      <c r="H41" s="21">
        <v>7.6923079788684845E-2</v>
      </c>
      <c r="I41" s="21">
        <v>0.72727274894714355</v>
      </c>
      <c r="J41" s="21">
        <v>0.33628317713737488</v>
      </c>
      <c r="K41" s="21">
        <v>0.53333336114883423</v>
      </c>
      <c r="L41" s="21">
        <v>0.24545454978942871</v>
      </c>
      <c r="M41" s="21">
        <v>0.2890625</v>
      </c>
      <c r="N41" s="21">
        <v>0.16304348409175873</v>
      </c>
      <c r="O41" s="21">
        <v>1.3986013829708099E-2</v>
      </c>
      <c r="P41" s="21">
        <v>0.68181818723678589</v>
      </c>
      <c r="Q41" s="21">
        <v>0.26470589637756348</v>
      </c>
      <c r="R41" s="21">
        <v>0.45614033937454224</v>
      </c>
      <c r="S41" s="2" t="s">
        <v>21</v>
      </c>
      <c r="T41" s="2"/>
      <c r="U41" s="2"/>
      <c r="V41" s="2"/>
      <c r="W41" s="2"/>
      <c r="X41" s="2"/>
      <c r="Y41" s="2"/>
      <c r="Z41" s="2"/>
    </row>
    <row r="42" spans="1:26" ht="12.75" customHeight="1" x14ac:dyDescent="0.25">
      <c r="A42" s="2" t="s">
        <v>59</v>
      </c>
      <c r="B42" s="26">
        <v>6.4480452537536621</v>
      </c>
      <c r="C42" s="21">
        <v>0.66666668653488159</v>
      </c>
      <c r="D42" s="21">
        <v>0.82242989540100098</v>
      </c>
      <c r="E42" s="21">
        <v>0.79729729890823364</v>
      </c>
      <c r="F42" s="21">
        <v>0.8507462739944458</v>
      </c>
      <c r="G42" s="21">
        <v>0.32758620381355286</v>
      </c>
      <c r="H42" s="21">
        <v>0.29411765933036804</v>
      </c>
      <c r="I42" s="21">
        <v>0.56097561120986938</v>
      </c>
      <c r="J42" s="21">
        <v>0.17391304671764374</v>
      </c>
      <c r="K42" s="21">
        <v>0.5</v>
      </c>
      <c r="L42" s="21">
        <v>0.10476190596818924</v>
      </c>
      <c r="M42" s="21">
        <v>0.54744523763656616</v>
      </c>
      <c r="N42" s="21">
        <v>0.17475728690624237</v>
      </c>
      <c r="O42" s="21">
        <v>7.0422537624835968E-2</v>
      </c>
      <c r="P42" s="21">
        <v>0.3333333432674408</v>
      </c>
      <c r="Q42" s="21">
        <v>0.48979592323303223</v>
      </c>
      <c r="R42" s="21">
        <v>0.41463413834571838</v>
      </c>
      <c r="S42" s="2" t="s">
        <v>26</v>
      </c>
      <c r="T42" s="2"/>
      <c r="U42" s="2"/>
      <c r="V42" s="2"/>
      <c r="W42" s="2"/>
      <c r="X42" s="2"/>
      <c r="Y42" s="2"/>
      <c r="Z42" s="2"/>
    </row>
    <row r="43" spans="1:26" ht="12.75" customHeight="1" x14ac:dyDescent="0.25">
      <c r="A43" s="2" t="s">
        <v>60</v>
      </c>
      <c r="B43" s="26">
        <v>7.2792987823486328</v>
      </c>
      <c r="C43" s="21">
        <v>0.26923078298568726</v>
      </c>
      <c r="D43" s="21">
        <v>0.57894736528396606</v>
      </c>
      <c r="E43" s="21">
        <v>0.63779526948928833</v>
      </c>
      <c r="F43" s="21">
        <v>0.79090911149978638</v>
      </c>
      <c r="G43" s="21">
        <v>0.1111111119389534</v>
      </c>
      <c r="H43" s="21">
        <v>0.67741936445236206</v>
      </c>
      <c r="I43" s="21">
        <v>0.53571426868438721</v>
      </c>
      <c r="J43" s="21">
        <v>0.18367347121238708</v>
      </c>
      <c r="K43" s="21">
        <v>0.4848484992980957</v>
      </c>
      <c r="L43" s="21">
        <v>0.25581395626068115</v>
      </c>
      <c r="M43" s="21">
        <v>0.31481480598449707</v>
      </c>
      <c r="N43" s="21">
        <v>0.23170731961727142</v>
      </c>
      <c r="O43" s="21">
        <v>0</v>
      </c>
      <c r="P43" s="21">
        <v>0.45454546809196472</v>
      </c>
      <c r="Q43" s="21">
        <v>0.2291666716337204</v>
      </c>
      <c r="R43" s="21">
        <v>0.39130434393882751</v>
      </c>
      <c r="S43" s="2" t="s">
        <v>21</v>
      </c>
      <c r="T43" s="2"/>
      <c r="U43" s="2"/>
      <c r="V43" s="2"/>
      <c r="W43" s="2"/>
      <c r="X43" s="2"/>
      <c r="Y43" s="2"/>
      <c r="Z43" s="2"/>
    </row>
    <row r="44" spans="1:26" ht="12.75" customHeight="1" x14ac:dyDescent="0.25">
      <c r="A44" s="2" t="s">
        <v>61</v>
      </c>
      <c r="B44" s="26">
        <v>7.0331573486328125</v>
      </c>
      <c r="C44" s="21">
        <v>0.3660714328289032</v>
      </c>
      <c r="D44" s="21">
        <v>0.30303031206130981</v>
      </c>
      <c r="E44" s="21">
        <v>0.63392859697341919</v>
      </c>
      <c r="F44" s="21">
        <v>0.9529411792755127</v>
      </c>
      <c r="G44" s="21">
        <v>0.40740740299224854</v>
      </c>
      <c r="H44" s="21">
        <v>0.2222222238779068</v>
      </c>
      <c r="I44" s="21">
        <v>0.88679248094558716</v>
      </c>
      <c r="J44" s="21">
        <v>0.4285714328289032</v>
      </c>
      <c r="K44" s="21">
        <v>0.77499997615814209</v>
      </c>
      <c r="L44" s="21">
        <v>0.30000001192092896</v>
      </c>
      <c r="M44" s="21">
        <v>0.28571429848670959</v>
      </c>
      <c r="N44" s="21">
        <v>0.125</v>
      </c>
      <c r="O44" s="21">
        <v>9.0909088030457497E-3</v>
      </c>
      <c r="P44" s="21">
        <v>0.38461539149284363</v>
      </c>
      <c r="Q44" s="21">
        <v>0.43137255311012268</v>
      </c>
      <c r="R44" s="21">
        <v>0.17241379618644714</v>
      </c>
      <c r="S44" s="2" t="s">
        <v>26</v>
      </c>
      <c r="T44" s="2"/>
      <c r="U44" s="2"/>
      <c r="V44" s="2"/>
      <c r="W44" s="2"/>
      <c r="X44" s="2"/>
      <c r="Y44" s="2"/>
      <c r="Z44" s="2"/>
    </row>
    <row r="45" spans="1:26" ht="12.75" customHeight="1" x14ac:dyDescent="0.25">
      <c r="A45" s="2" t="s">
        <v>62</v>
      </c>
      <c r="B45" s="26">
        <v>7.0788669586181641</v>
      </c>
      <c r="C45" s="21">
        <v>0.23913043737411499</v>
      </c>
      <c r="D45" s="21">
        <v>0.43103447556495667</v>
      </c>
      <c r="E45" s="21">
        <v>0.64492756128311157</v>
      </c>
      <c r="F45" s="21">
        <v>0.81372547149658203</v>
      </c>
      <c r="G45" s="21">
        <v>0.24615384638309479</v>
      </c>
      <c r="H45" s="21">
        <v>0.13333334028720856</v>
      </c>
      <c r="I45" s="21">
        <v>0.625</v>
      </c>
      <c r="J45" s="21">
        <v>0.25</v>
      </c>
      <c r="K45" s="21">
        <v>0.21568627655506134</v>
      </c>
      <c r="L45" s="21">
        <v>0.26086956262588501</v>
      </c>
      <c r="M45" s="21">
        <v>0.30000001192092896</v>
      </c>
      <c r="N45" s="21">
        <v>0.23333333432674408</v>
      </c>
      <c r="O45" s="21">
        <v>7.5187971815466881E-3</v>
      </c>
      <c r="P45" s="21">
        <v>0.60000002384185791</v>
      </c>
      <c r="Q45" s="21">
        <v>0.4444444477558136</v>
      </c>
      <c r="R45" s="21">
        <v>0.29629629850387573</v>
      </c>
      <c r="S45" s="2" t="s">
        <v>18</v>
      </c>
      <c r="T45" s="2"/>
      <c r="U45" s="2"/>
      <c r="V45" s="2"/>
      <c r="W45" s="2"/>
      <c r="X45" s="2"/>
      <c r="Y45" s="2"/>
      <c r="Z45" s="2"/>
    </row>
    <row r="46" spans="1:26" ht="12.75" customHeight="1" x14ac:dyDescent="0.25">
      <c r="A46" s="2" t="s">
        <v>63</v>
      </c>
      <c r="B46" s="26">
        <v>5.7196989059448242</v>
      </c>
      <c r="C46" s="21">
        <v>0.50961536169052124</v>
      </c>
      <c r="D46" s="21">
        <v>0.53846156597137451</v>
      </c>
      <c r="E46" s="21">
        <v>0.75</v>
      </c>
      <c r="F46" s="21">
        <v>0.76923078298568726</v>
      </c>
      <c r="G46" s="21">
        <v>0.26086956262588501</v>
      </c>
      <c r="H46" s="21">
        <v>0.27272728085517883</v>
      </c>
      <c r="I46" s="21">
        <v>0.62068963050842285</v>
      </c>
      <c r="J46" s="21">
        <v>0.31645569205284119</v>
      </c>
      <c r="K46" s="21">
        <v>0.37037035822868347</v>
      </c>
      <c r="L46" s="21">
        <v>0.33802816271781921</v>
      </c>
      <c r="M46" s="21">
        <v>0.31868132948875427</v>
      </c>
      <c r="N46" s="21">
        <v>0.2222222238779068</v>
      </c>
      <c r="O46" s="21">
        <v>8.8235296308994293E-2</v>
      </c>
      <c r="P46" s="21">
        <v>0.75</v>
      </c>
      <c r="Q46" s="21">
        <v>0.30769231915473938</v>
      </c>
      <c r="R46" s="21">
        <v>0.56818181276321411</v>
      </c>
      <c r="S46" s="2" t="s">
        <v>26</v>
      </c>
      <c r="T46" s="2"/>
      <c r="U46" s="2"/>
      <c r="V46" s="2"/>
      <c r="W46" s="2"/>
      <c r="X46" s="2"/>
      <c r="Y46" s="2"/>
      <c r="Z46" s="2"/>
    </row>
    <row r="47" spans="1:26" ht="12.75" customHeight="1" x14ac:dyDescent="0.25">
      <c r="A47" s="2" t="s">
        <v>64</v>
      </c>
      <c r="B47" s="26">
        <v>6.2599267959594727</v>
      </c>
      <c r="C47" s="21">
        <v>0.56074768304824829</v>
      </c>
      <c r="D47" s="21">
        <v>0.79746836423873901</v>
      </c>
      <c r="E47" s="21">
        <v>0.76363635063171387</v>
      </c>
      <c r="F47" s="21">
        <v>0.83673471212387085</v>
      </c>
      <c r="G47" s="21">
        <v>0.34210526943206787</v>
      </c>
      <c r="H47" s="21">
        <v>0.2380952388048172</v>
      </c>
      <c r="I47" s="21">
        <v>0.4444444477558136</v>
      </c>
      <c r="J47" s="21">
        <v>0.20454545319080353</v>
      </c>
      <c r="K47" s="21">
        <v>0.5</v>
      </c>
      <c r="L47" s="21">
        <v>0.125</v>
      </c>
      <c r="M47" s="21">
        <v>0.62999999523162842</v>
      </c>
      <c r="N47" s="21">
        <v>0.18421052396297455</v>
      </c>
      <c r="O47" s="21">
        <v>4.76190485060215E-2</v>
      </c>
      <c r="P47" s="21">
        <v>0.71428573131561279</v>
      </c>
      <c r="Q47" s="21">
        <v>0.39393940567970276</v>
      </c>
      <c r="R47" s="21">
        <v>0.51724135875701904</v>
      </c>
      <c r="S47" s="2" t="s">
        <v>26</v>
      </c>
      <c r="T47" s="2"/>
      <c r="U47" s="2"/>
      <c r="V47" s="2"/>
      <c r="W47" s="2"/>
      <c r="X47" s="2"/>
      <c r="Y47" s="2"/>
      <c r="Z47" s="2"/>
    </row>
    <row r="48" spans="1:26" ht="12.75" customHeight="1" x14ac:dyDescent="0.25">
      <c r="A48" s="2" t="s">
        <v>65</v>
      </c>
      <c r="B48" s="26">
        <v>6.6520676612854004</v>
      </c>
      <c r="C48" s="21">
        <v>0.33793103694915771</v>
      </c>
      <c r="D48" s="21">
        <v>0.37333333492279053</v>
      </c>
      <c r="E48" s="21">
        <v>0.63194441795349121</v>
      </c>
      <c r="F48" s="21">
        <v>0.84112149477005005</v>
      </c>
      <c r="G48" s="21">
        <v>0.43076923489570618</v>
      </c>
      <c r="H48" s="21">
        <v>0.26666668057441711</v>
      </c>
      <c r="I48" s="21">
        <v>0.61224490404129028</v>
      </c>
      <c r="J48" s="21">
        <v>0.36363637447357178</v>
      </c>
      <c r="K48" s="21">
        <v>0.6904761791229248</v>
      </c>
      <c r="L48" s="21">
        <v>0.32110092043876648</v>
      </c>
      <c r="M48" s="21">
        <v>0.296875</v>
      </c>
      <c r="N48" s="21">
        <v>0.2210526317358017</v>
      </c>
      <c r="O48" s="21">
        <v>2.857142873108387E-2</v>
      </c>
      <c r="P48" s="21">
        <v>0.3333333432674408</v>
      </c>
      <c r="Q48" s="21">
        <v>0.28947368264198303</v>
      </c>
      <c r="R48" s="21">
        <v>0.43939393758773804</v>
      </c>
      <c r="S48" s="2" t="s">
        <v>26</v>
      </c>
      <c r="T48" s="2"/>
      <c r="U48" s="2"/>
      <c r="V48" s="2"/>
      <c r="W48" s="2"/>
      <c r="X48" s="2"/>
      <c r="Y48" s="2"/>
      <c r="Z48" s="2"/>
    </row>
    <row r="49" spans="1:26" ht="12.75" customHeight="1" x14ac:dyDescent="0.25">
      <c r="A49" s="2" t="s">
        <v>66</v>
      </c>
      <c r="B49" s="26">
        <v>6.6201410293579102</v>
      </c>
      <c r="C49" s="21">
        <v>0.30769231915473938</v>
      </c>
      <c r="D49" s="21">
        <v>0.40000000596046448</v>
      </c>
      <c r="E49" s="21">
        <v>0.78448277711868286</v>
      </c>
      <c r="F49" s="21">
        <v>0.82758623361587524</v>
      </c>
      <c r="G49" s="21">
        <v>0.32075470685958862</v>
      </c>
      <c r="H49" s="21">
        <v>0.18181818723678589</v>
      </c>
      <c r="I49" s="21">
        <v>0.42307692766189575</v>
      </c>
      <c r="J49" s="21">
        <v>0.36082473397254944</v>
      </c>
      <c r="K49" s="21">
        <v>0.75</v>
      </c>
      <c r="L49" s="21">
        <v>0.37362638115882874</v>
      </c>
      <c r="M49" s="21">
        <v>0.28301885724067688</v>
      </c>
      <c r="N49" s="21">
        <v>0.17808219790458679</v>
      </c>
      <c r="O49" s="21">
        <v>2.6315789669752121E-2</v>
      </c>
      <c r="P49" s="21">
        <v>0.54545456171035767</v>
      </c>
      <c r="Q49" s="21">
        <v>0.2641509473323822</v>
      </c>
      <c r="R49" s="21">
        <v>0.37288135290145874</v>
      </c>
      <c r="S49" s="2" t="s">
        <v>26</v>
      </c>
      <c r="T49" s="2"/>
      <c r="U49" s="2"/>
      <c r="V49" s="2"/>
      <c r="W49" s="2"/>
      <c r="X49" s="2"/>
      <c r="Y49" s="2"/>
      <c r="Z49" s="2"/>
    </row>
    <row r="50" spans="1:26" ht="12.75" customHeight="1" x14ac:dyDescent="0.25">
      <c r="A50" s="2" t="s">
        <v>67</v>
      </c>
      <c r="B50" s="26">
        <v>7.4342341423034668</v>
      </c>
      <c r="C50" s="21">
        <v>0.27586206793785095</v>
      </c>
      <c r="D50" s="21">
        <v>0.75</v>
      </c>
      <c r="E50" s="21">
        <v>0.64497041702270508</v>
      </c>
      <c r="F50" s="21">
        <v>0.82499998807907104</v>
      </c>
      <c r="G50" s="21">
        <v>0.190476194024086</v>
      </c>
      <c r="H50" s="21">
        <v>6.4516127109527588E-2</v>
      </c>
      <c r="I50" s="21">
        <v>0.63999998569488525</v>
      </c>
      <c r="J50" s="21">
        <v>0.23703703284263611</v>
      </c>
      <c r="K50" s="21">
        <v>0.45714285969734192</v>
      </c>
      <c r="L50" s="21">
        <v>0.22900763154029846</v>
      </c>
      <c r="M50" s="21">
        <v>0.28104576468467712</v>
      </c>
      <c r="N50" s="21">
        <v>0.1428571492433548</v>
      </c>
      <c r="O50" s="21">
        <v>1.7647059634327888E-2</v>
      </c>
      <c r="P50" s="21">
        <v>0.53333336114883423</v>
      </c>
      <c r="Q50" s="21">
        <v>0.12962962687015533</v>
      </c>
      <c r="R50" s="21">
        <v>0.36206895112991333</v>
      </c>
      <c r="S50" s="2" t="s">
        <v>21</v>
      </c>
      <c r="T50" s="2"/>
      <c r="U50" s="2"/>
      <c r="V50" s="2"/>
      <c r="W50" s="2"/>
      <c r="X50" s="2"/>
      <c r="Y50" s="2"/>
      <c r="Z50" s="2"/>
    </row>
    <row r="51" spans="1:26" ht="12.75" customHeight="1" x14ac:dyDescent="0.25">
      <c r="A51" s="2" t="s">
        <v>68</v>
      </c>
      <c r="B51" s="26">
        <v>6.7953891754150391</v>
      </c>
      <c r="C51" s="21">
        <v>0.43809524178504944</v>
      </c>
      <c r="D51" s="21">
        <v>0.66666668653488159</v>
      </c>
      <c r="E51" s="21">
        <v>0.66019415855407715</v>
      </c>
      <c r="F51" s="21">
        <v>0.84693878889083862</v>
      </c>
      <c r="G51" s="21">
        <v>0.32499998807907104</v>
      </c>
      <c r="H51" s="21">
        <v>0.55555558204650879</v>
      </c>
      <c r="I51" s="21">
        <v>0.73529410362243652</v>
      </c>
      <c r="J51" s="21">
        <v>0.17499999701976776</v>
      </c>
      <c r="K51" s="21">
        <v>0.5</v>
      </c>
      <c r="L51" s="21">
        <v>0.12328767031431198</v>
      </c>
      <c r="M51" s="21">
        <v>0.56701028347015381</v>
      </c>
      <c r="N51" s="21">
        <v>0.14473684132099152</v>
      </c>
      <c r="O51" s="21">
        <v>3.8461539894342422E-2</v>
      </c>
      <c r="P51" s="21">
        <v>0.25</v>
      </c>
      <c r="Q51" s="21">
        <v>0.40909090638160706</v>
      </c>
      <c r="R51" s="21">
        <v>0.47222220897674561</v>
      </c>
      <c r="S51" s="2" t="s">
        <v>26</v>
      </c>
      <c r="T51" s="2"/>
      <c r="U51" s="2"/>
      <c r="V51" s="2"/>
      <c r="W51" s="2"/>
      <c r="X51" s="2"/>
      <c r="Y51" s="2"/>
      <c r="Z51" s="2"/>
    </row>
    <row r="52" spans="1:26" ht="12.75" customHeight="1" x14ac:dyDescent="0.25">
      <c r="A52" s="2" t="s">
        <v>69</v>
      </c>
      <c r="B52" s="26">
        <v>6.5732159614562988</v>
      </c>
      <c r="C52" s="21">
        <v>0.4711538553237915</v>
      </c>
      <c r="D52" s="21">
        <v>0.76923078298568726</v>
      </c>
      <c r="E52" s="21">
        <v>0.75</v>
      </c>
      <c r="F52" s="21">
        <v>0.78378379344940186</v>
      </c>
      <c r="G52" s="21">
        <v>0.32558140158653259</v>
      </c>
      <c r="H52" s="21">
        <v>0.60000002384185791</v>
      </c>
      <c r="I52" s="21">
        <v>0.38461539149284363</v>
      </c>
      <c r="J52" s="21">
        <v>0.30000001192092896</v>
      </c>
      <c r="K52" s="21">
        <v>0.60000002384185791</v>
      </c>
      <c r="L52" s="21">
        <v>0.2054794579744339</v>
      </c>
      <c r="M52" s="21">
        <v>0.32558140158653259</v>
      </c>
      <c r="N52" s="21">
        <v>0.2028985470533371</v>
      </c>
      <c r="O52" s="21">
        <v>9.8039219155907631E-3</v>
      </c>
      <c r="P52" s="21">
        <v>0.5</v>
      </c>
      <c r="Q52" s="21">
        <v>0.40540540218353271</v>
      </c>
      <c r="R52" s="21">
        <v>0.54285717010498047</v>
      </c>
      <c r="S52" s="2" t="s">
        <v>15</v>
      </c>
      <c r="T52" s="2"/>
      <c r="U52" s="2"/>
      <c r="V52" s="2"/>
      <c r="W52" s="2"/>
      <c r="X52" s="2"/>
      <c r="Y52" s="2"/>
      <c r="Z52" s="2"/>
    </row>
    <row r="53" spans="1:26" ht="12.75" customHeight="1" x14ac:dyDescent="0.25">
      <c r="A53" s="2" t="s">
        <v>70</v>
      </c>
      <c r="B53" s="26">
        <v>6.2682938575744629</v>
      </c>
      <c r="C53" s="21">
        <v>0.30769231915473938</v>
      </c>
      <c r="D53" s="21">
        <v>0.70454543828964233</v>
      </c>
      <c r="E53" s="21">
        <v>0.68269228935241699</v>
      </c>
      <c r="F53" s="21">
        <v>0.79452055692672729</v>
      </c>
      <c r="G53" s="21">
        <v>0.30769231915473938</v>
      </c>
      <c r="H53" s="21">
        <v>0.2916666567325592</v>
      </c>
      <c r="I53" s="21">
        <v>0.5</v>
      </c>
      <c r="J53" s="21">
        <v>0.32894736528396606</v>
      </c>
      <c r="K53" s="21">
        <v>0.45454546809196472</v>
      </c>
      <c r="L53" s="21">
        <v>0.24242424964904785</v>
      </c>
      <c r="M53" s="21">
        <v>0.35353535413742065</v>
      </c>
      <c r="N53" s="21">
        <v>0.1428571492433548</v>
      </c>
      <c r="O53" s="21">
        <v>7.9207919538021088E-2</v>
      </c>
      <c r="P53" s="21">
        <v>0.81818181276321411</v>
      </c>
      <c r="Q53" s="21">
        <v>0.18181818723678589</v>
      </c>
      <c r="R53" s="21">
        <v>0.48648649454116821</v>
      </c>
      <c r="S53" s="2" t="s">
        <v>18</v>
      </c>
      <c r="T53" s="2"/>
      <c r="U53" s="2"/>
      <c r="V53" s="2"/>
      <c r="W53" s="2"/>
      <c r="X53" s="2"/>
      <c r="Y53" s="2"/>
      <c r="Z53" s="2"/>
    </row>
    <row r="54" spans="1:26" ht="12.75" customHeight="1" x14ac:dyDescent="0.25">
      <c r="A54" s="2" t="s">
        <v>78</v>
      </c>
      <c r="B54" s="26">
        <v>7.3079996109008789</v>
      </c>
      <c r="C54" s="21">
        <v>0.36885246634483337</v>
      </c>
      <c r="D54" s="21">
        <v>0.70769232511520386</v>
      </c>
      <c r="E54" s="21">
        <v>0.56410259008407593</v>
      </c>
      <c r="F54" s="21">
        <v>0.76344084739685059</v>
      </c>
      <c r="G54" s="21">
        <v>0.17391304671764374</v>
      </c>
      <c r="H54" s="21">
        <v>0.17647059261798859</v>
      </c>
      <c r="I54" s="21">
        <v>0.36000001430511475</v>
      </c>
      <c r="J54" s="21">
        <v>0.26666668057441711</v>
      </c>
      <c r="K54" s="21">
        <v>0.5</v>
      </c>
      <c r="L54" s="21">
        <v>0.20000000298023224</v>
      </c>
      <c r="M54" s="21">
        <v>0.37623763084411621</v>
      </c>
      <c r="N54" s="21">
        <v>0.1666666716337204</v>
      </c>
      <c r="O54" s="21">
        <v>4.3859649449586868E-2</v>
      </c>
      <c r="P54" s="21">
        <v>0.375</v>
      </c>
      <c r="Q54" s="21">
        <v>0.28571429848670959</v>
      </c>
      <c r="R54" s="21">
        <v>0.26530611515045166</v>
      </c>
      <c r="S54" s="2" t="s">
        <v>26</v>
      </c>
      <c r="T54" s="2"/>
      <c r="U54" s="2"/>
      <c r="V54" s="2"/>
      <c r="W54" s="2"/>
      <c r="X54" s="2"/>
      <c r="Y54" s="2"/>
      <c r="Z54" s="2"/>
    </row>
    <row r="55" spans="1:26" ht="12.75" customHeight="1" x14ac:dyDescent="0.25">
      <c r="A55" s="2" t="s">
        <v>71</v>
      </c>
      <c r="B55" s="26">
        <v>7.2578649520874023</v>
      </c>
      <c r="C55" s="21">
        <v>0.25984251499176025</v>
      </c>
      <c r="D55" s="21">
        <v>0.67272728681564331</v>
      </c>
      <c r="E55" s="21">
        <v>0.59677422046661377</v>
      </c>
      <c r="F55" s="21">
        <v>0.74747473001480103</v>
      </c>
      <c r="G55" s="21">
        <v>0.30508473515510559</v>
      </c>
      <c r="H55" s="21">
        <v>0.22727273404598236</v>
      </c>
      <c r="I55" s="21">
        <v>0.6388888955116272</v>
      </c>
      <c r="J55" s="21">
        <v>0.36666667461395264</v>
      </c>
      <c r="K55" s="21">
        <v>0.46666666865348816</v>
      </c>
      <c r="L55" s="21">
        <v>0.30487805604934692</v>
      </c>
      <c r="M55" s="21">
        <v>0.41836735606193542</v>
      </c>
      <c r="N55" s="21">
        <v>0.22077922523021698</v>
      </c>
      <c r="O55" s="21">
        <v>8.0645158886909485E-3</v>
      </c>
      <c r="P55" s="21">
        <v>0.4166666567325592</v>
      </c>
      <c r="Q55" s="21">
        <v>0.18918919563293457</v>
      </c>
      <c r="R55" s="21">
        <v>0.30188679695129395</v>
      </c>
      <c r="S55" s="2" t="s">
        <v>24</v>
      </c>
      <c r="T55" s="2"/>
      <c r="U55" s="2"/>
      <c r="V55" s="2"/>
      <c r="W55" s="2"/>
      <c r="X55" s="2"/>
      <c r="Y55" s="2"/>
      <c r="Z55" s="2"/>
    </row>
    <row r="56" spans="1:26" ht="12.75" customHeight="1" x14ac:dyDescent="0.25">
      <c r="A56" s="2" t="s">
        <v>72</v>
      </c>
      <c r="B56" s="26">
        <v>6.3680295944213867</v>
      </c>
      <c r="C56" s="21">
        <v>0.31999999284744263</v>
      </c>
      <c r="D56" s="21">
        <v>0.42592594027519226</v>
      </c>
      <c r="E56" s="21">
        <v>0.6694214940071106</v>
      </c>
      <c r="F56" s="21">
        <v>0.82758623361587524</v>
      </c>
      <c r="G56" s="21">
        <v>0.26530611515045166</v>
      </c>
      <c r="H56" s="21">
        <v>0.38461539149284363</v>
      </c>
      <c r="I56" s="21">
        <v>0.70833331346511841</v>
      </c>
      <c r="J56" s="21">
        <v>0.27368420362472534</v>
      </c>
      <c r="K56" s="21">
        <v>0.37837839126586914</v>
      </c>
      <c r="L56" s="21">
        <v>0.2083333283662796</v>
      </c>
      <c r="M56" s="21">
        <v>0.24038460850715637</v>
      </c>
      <c r="N56" s="21">
        <v>0.1666666716337204</v>
      </c>
      <c r="O56" s="21">
        <v>4.0322579443454742E-2</v>
      </c>
      <c r="P56" s="21">
        <v>0.81818181276321411</v>
      </c>
      <c r="Q56" s="21">
        <v>0.25</v>
      </c>
      <c r="R56" s="21">
        <v>0.47058823704719543</v>
      </c>
      <c r="S56" s="2" t="s">
        <v>21</v>
      </c>
      <c r="T56" s="2"/>
      <c r="U56" s="2"/>
      <c r="V56" s="2"/>
      <c r="W56" s="2"/>
      <c r="X56" s="2"/>
      <c r="Y56" s="2"/>
      <c r="Z56" s="2"/>
    </row>
    <row r="57" spans="1:26" ht="12.75" customHeight="1" x14ac:dyDescent="0.25">
      <c r="A57" s="2" t="s">
        <v>73</v>
      </c>
      <c r="B57" s="26">
        <v>6.7008352279663086</v>
      </c>
      <c r="C57" s="21">
        <v>0.24390244483947754</v>
      </c>
      <c r="D57" s="21">
        <v>0.56666666269302368</v>
      </c>
      <c r="E57" s="21">
        <v>0.54700857400894165</v>
      </c>
      <c r="F57" s="21">
        <v>0.79000002145767212</v>
      </c>
      <c r="G57" s="21">
        <v>0.37735849618911743</v>
      </c>
      <c r="H57" s="21">
        <v>0.53846156597137451</v>
      </c>
      <c r="I57" s="21">
        <v>0.63636362552642822</v>
      </c>
      <c r="J57" s="21">
        <v>0.29347825050354004</v>
      </c>
      <c r="K57" s="21">
        <v>0.45161288976669312</v>
      </c>
      <c r="L57" s="21">
        <v>0.19318181276321411</v>
      </c>
      <c r="M57" s="21">
        <v>0.29702970385551453</v>
      </c>
      <c r="N57" s="21">
        <v>0.25609755516052246</v>
      </c>
      <c r="O57" s="21">
        <v>3.3057849854230881E-2</v>
      </c>
      <c r="P57" s="21">
        <v>0.57894736528396606</v>
      </c>
      <c r="Q57" s="21">
        <v>0.2800000011920929</v>
      </c>
      <c r="R57" s="21">
        <v>0.43902438879013062</v>
      </c>
      <c r="S57" s="2" t="s">
        <v>18</v>
      </c>
      <c r="T57" s="2"/>
      <c r="U57" s="2"/>
      <c r="V57" s="2"/>
      <c r="W57" s="2"/>
      <c r="X57" s="2"/>
      <c r="Y57" s="2"/>
      <c r="Z57" s="2"/>
    </row>
    <row r="58" spans="1:26" ht="12.75" customHeight="1" x14ac:dyDescent="0.25">
      <c r="A58" s="2" t="s">
        <v>74</v>
      </c>
      <c r="B58" s="26">
        <v>6.4719381332397461</v>
      </c>
      <c r="C58" s="21">
        <v>0.2641509473323822</v>
      </c>
      <c r="D58" s="21">
        <v>0.3333333432674408</v>
      </c>
      <c r="E58" s="21">
        <v>0.74666666984558105</v>
      </c>
      <c r="F58" s="21">
        <v>0.75999999046325684</v>
      </c>
      <c r="G58" s="21">
        <v>0.2916666567325592</v>
      </c>
      <c r="H58" s="21">
        <v>0.2222222238779068</v>
      </c>
      <c r="I58" s="21">
        <v>0.4444444477558136</v>
      </c>
      <c r="J58" s="21">
        <v>0.37931033968925476</v>
      </c>
      <c r="K58" s="21">
        <v>0.6388888955116272</v>
      </c>
      <c r="L58" s="21">
        <v>0.28301885724067688</v>
      </c>
      <c r="M58" s="21">
        <v>0.35507246851921082</v>
      </c>
      <c r="N58" s="21">
        <v>0.22448979318141937</v>
      </c>
      <c r="O58" s="21">
        <v>0</v>
      </c>
      <c r="P58" s="21">
        <v>0.5</v>
      </c>
      <c r="Q58" s="21">
        <v>0.12857143580913544</v>
      </c>
      <c r="R58" s="21">
        <v>0.68571430444717407</v>
      </c>
      <c r="S58" s="2" t="s">
        <v>26</v>
      </c>
      <c r="T58" s="2"/>
      <c r="U58" s="2"/>
      <c r="V58" s="2"/>
      <c r="W58" s="2"/>
      <c r="X58" s="2"/>
      <c r="Y58" s="2"/>
      <c r="Z58" s="2"/>
    </row>
    <row r="59" spans="1:26" ht="12.75" customHeight="1" x14ac:dyDescent="0.25">
      <c r="A59" s="2" t="s">
        <v>75</v>
      </c>
      <c r="B59" s="26">
        <v>6.7643656730651855</v>
      </c>
      <c r="C59" s="21">
        <v>0.36363637447357178</v>
      </c>
      <c r="D59" s="21">
        <v>0.73846155405044556</v>
      </c>
      <c r="E59" s="21">
        <v>0.58715593814849854</v>
      </c>
      <c r="F59" s="21">
        <v>0.82417583465576172</v>
      </c>
      <c r="G59" s="21">
        <v>0.30188679695129395</v>
      </c>
      <c r="H59" s="21">
        <v>7.1428574621677399E-2</v>
      </c>
      <c r="I59" s="21">
        <v>0.40000000596046448</v>
      </c>
      <c r="J59" s="21">
        <v>0.32911393046379089</v>
      </c>
      <c r="K59" s="21">
        <v>0.3928571343421936</v>
      </c>
      <c r="L59" s="21">
        <v>0.30000001192092896</v>
      </c>
      <c r="M59" s="21">
        <v>0.3854166567325592</v>
      </c>
      <c r="N59" s="21">
        <v>0.23999999463558197</v>
      </c>
      <c r="O59" s="21">
        <v>9.4339624047279358E-3</v>
      </c>
      <c r="P59" s="21">
        <v>0.84210526943206787</v>
      </c>
      <c r="Q59" s="21">
        <v>0.2142857164144516</v>
      </c>
      <c r="R59" s="21">
        <v>0.56862747669219971</v>
      </c>
      <c r="S59" s="2" t="s">
        <v>15</v>
      </c>
      <c r="T59" s="2"/>
      <c r="U59" s="2"/>
      <c r="V59" s="2"/>
      <c r="W59" s="2"/>
      <c r="X59" s="2"/>
      <c r="Y59" s="2"/>
      <c r="Z59" s="2"/>
    </row>
    <row r="60" spans="1:26" ht="12.75" customHeight="1" x14ac:dyDescent="0.25">
      <c r="A60" s="2" t="s">
        <v>77</v>
      </c>
      <c r="B60" s="26">
        <v>6.8757753372192383</v>
      </c>
      <c r="C60" s="21">
        <v>0.32323232293128967</v>
      </c>
      <c r="D60" s="21">
        <v>0.53488373756408691</v>
      </c>
      <c r="E60" s="21">
        <v>0.69999998807907104</v>
      </c>
      <c r="F60" s="21">
        <v>0.77941179275512695</v>
      </c>
      <c r="G60" s="21">
        <v>0.24444444477558136</v>
      </c>
      <c r="H60" s="21">
        <v>0.36363637447357178</v>
      </c>
      <c r="I60" s="21">
        <v>0.5</v>
      </c>
      <c r="J60" s="21">
        <v>0.40243902802467346</v>
      </c>
      <c r="K60" s="21">
        <v>0.42553192377090454</v>
      </c>
      <c r="L60" s="21">
        <v>0.2800000011920929</v>
      </c>
      <c r="M60" s="21">
        <v>0.29885056614875793</v>
      </c>
      <c r="N60" s="21">
        <v>0.29032257199287415</v>
      </c>
      <c r="O60" s="21">
        <v>1.0416666977107525E-2</v>
      </c>
      <c r="P60" s="21">
        <v>0.40000000596046448</v>
      </c>
      <c r="Q60" s="21">
        <v>0.30434781312942505</v>
      </c>
      <c r="R60" s="21">
        <v>0.46341463923454285</v>
      </c>
      <c r="S60" s="2" t="s">
        <v>15</v>
      </c>
      <c r="T60" s="2"/>
      <c r="U60" s="2"/>
      <c r="V60" s="2"/>
      <c r="W60" s="2"/>
      <c r="X60" s="2"/>
      <c r="Y60" s="2"/>
      <c r="Z60" s="2"/>
    </row>
    <row r="61" spans="1:26" ht="12.75" customHeight="1" x14ac:dyDescent="0.25">
      <c r="A61" s="2" t="s">
        <v>79</v>
      </c>
      <c r="B61" s="26">
        <v>6.6208953857421875</v>
      </c>
      <c r="C61" s="21">
        <v>0.37254902720451355</v>
      </c>
      <c r="D61" s="21">
        <v>0.6428571343421936</v>
      </c>
      <c r="E61" s="21">
        <v>0.59405940771102905</v>
      </c>
      <c r="F61" s="21">
        <v>0.71590906381607056</v>
      </c>
      <c r="G61" s="21">
        <v>0.22807016968727112</v>
      </c>
      <c r="H61" s="21">
        <v>0.60000002384185791</v>
      </c>
      <c r="I61" s="21">
        <v>0.72972971200942993</v>
      </c>
      <c r="J61" s="21">
        <v>0.21126760542392731</v>
      </c>
      <c r="K61" s="21">
        <v>0.34999999403953552</v>
      </c>
      <c r="L61" s="21">
        <v>0.25423729419708252</v>
      </c>
      <c r="M61" s="21">
        <v>0.3095238208770752</v>
      </c>
      <c r="N61" s="21">
        <v>0.14035087823867798</v>
      </c>
      <c r="O61" s="21">
        <v>4.0404040366411209E-2</v>
      </c>
      <c r="P61" s="21">
        <v>0.61538463830947876</v>
      </c>
      <c r="Q61" s="21">
        <v>0.25</v>
      </c>
      <c r="R61" s="21">
        <v>0.40350878238677979</v>
      </c>
      <c r="S61" s="2" t="s">
        <v>18</v>
      </c>
      <c r="T61" s="2"/>
      <c r="U61" s="2"/>
      <c r="V61" s="2"/>
      <c r="W61" s="2"/>
      <c r="X61" s="2"/>
      <c r="Y61" s="2"/>
      <c r="Z61" s="2"/>
    </row>
    <row r="62" spans="1:26" ht="12.75" customHeight="1" x14ac:dyDescent="0.25">
      <c r="A62" s="2" t="s">
        <v>80</v>
      </c>
      <c r="B62" s="26">
        <v>6.3042421340942383</v>
      </c>
      <c r="C62" s="21">
        <v>0.4645669162273407</v>
      </c>
      <c r="D62" s="21">
        <v>0.3571428656578064</v>
      </c>
      <c r="E62" s="21">
        <v>0.79365080595016479</v>
      </c>
      <c r="F62" s="21">
        <v>0.87209302186965942</v>
      </c>
      <c r="G62" s="21">
        <v>0.5223880410194397</v>
      </c>
      <c r="H62" s="21">
        <v>0.4285714328289032</v>
      </c>
      <c r="I62" s="21">
        <v>0.72058820724487305</v>
      </c>
      <c r="J62" s="21">
        <v>0.56310677528381348</v>
      </c>
      <c r="K62" s="21">
        <v>0.54098361730575562</v>
      </c>
      <c r="L62" s="21">
        <v>0.42268040776252747</v>
      </c>
      <c r="M62" s="21">
        <v>0.18918919563293457</v>
      </c>
      <c r="N62" s="21">
        <v>0.30769231915473938</v>
      </c>
      <c r="O62" s="21">
        <v>8.1300809979438782E-3</v>
      </c>
      <c r="P62" s="21">
        <v>0.66666668653488159</v>
      </c>
      <c r="Q62" s="21">
        <v>0.44285714626312256</v>
      </c>
      <c r="R62" s="21">
        <v>0.1607142835855484</v>
      </c>
      <c r="S62" s="2" t="s">
        <v>15</v>
      </c>
      <c r="T62" s="2"/>
      <c r="U62" s="2"/>
      <c r="V62" s="2"/>
      <c r="W62" s="2"/>
      <c r="X62" s="2"/>
      <c r="Y62" s="2"/>
      <c r="Z62" s="2"/>
    </row>
    <row r="63" spans="1:26" ht="12.75" customHeight="1" x14ac:dyDescent="0.25">
      <c r="A63" s="2" t="s">
        <v>81</v>
      </c>
      <c r="B63" s="26">
        <v>6.7960348129272461</v>
      </c>
      <c r="C63" s="21">
        <v>0.33526012301445007</v>
      </c>
      <c r="D63" s="21">
        <v>0.41975307464599609</v>
      </c>
      <c r="E63" s="21">
        <v>0.63905322551727295</v>
      </c>
      <c r="F63" s="21">
        <v>0.79411762952804565</v>
      </c>
      <c r="G63" s="21">
        <v>0.32911393046379089</v>
      </c>
      <c r="H63" s="21">
        <v>0.23684211075305939</v>
      </c>
      <c r="I63" s="21">
        <v>0.54545456171035767</v>
      </c>
      <c r="J63" s="21">
        <v>0.341085284948349</v>
      </c>
      <c r="K63" s="21">
        <v>0.5961538553237915</v>
      </c>
      <c r="L63" s="21">
        <v>0.26086956262588501</v>
      </c>
      <c r="M63" s="21">
        <v>0.35333332419395447</v>
      </c>
      <c r="N63" s="21">
        <v>0.23893804848194122</v>
      </c>
      <c r="O63" s="21">
        <v>2.3255813866853714E-2</v>
      </c>
      <c r="P63" s="21">
        <v>0.3684210479259491</v>
      </c>
      <c r="Q63" s="21">
        <v>0.18461538851261139</v>
      </c>
      <c r="R63" s="21">
        <v>0.4482758641242981</v>
      </c>
      <c r="S63" s="2" t="s">
        <v>21</v>
      </c>
      <c r="T63" s="2"/>
      <c r="U63" s="2"/>
      <c r="V63" s="2"/>
      <c r="W63" s="2"/>
      <c r="X63" s="2"/>
      <c r="Y63" s="2"/>
      <c r="Z63" s="2"/>
    </row>
    <row r="64" spans="1:26" ht="12.75" customHeight="1" x14ac:dyDescent="0.25">
      <c r="A64" s="5" t="s">
        <v>82</v>
      </c>
      <c r="B64" s="27">
        <v>7.3617563247680664</v>
      </c>
      <c r="C64" s="29">
        <v>0.39449542760848999</v>
      </c>
      <c r="D64" s="29">
        <v>0.76119405031204224</v>
      </c>
      <c r="E64" s="29">
        <v>0.57943922281265259</v>
      </c>
      <c r="F64" s="29">
        <v>0.9047619104385376</v>
      </c>
      <c r="G64" s="29">
        <v>0.18181818723678589</v>
      </c>
      <c r="H64" s="29">
        <v>0.2222222238779068</v>
      </c>
      <c r="I64" s="29">
        <v>0.65217393636703491</v>
      </c>
      <c r="J64" s="29">
        <v>0.30769231915473938</v>
      </c>
      <c r="K64" s="29">
        <v>0.65217393636703491</v>
      </c>
      <c r="L64" s="29">
        <v>0.28205129504203796</v>
      </c>
      <c r="M64" s="29">
        <v>0.35106381773948669</v>
      </c>
      <c r="N64" s="29">
        <v>0.25373134016990662</v>
      </c>
      <c r="O64" s="29">
        <v>1.904761977493763E-2</v>
      </c>
      <c r="P64" s="29">
        <v>0.4285714328289032</v>
      </c>
      <c r="Q64" s="29">
        <v>0.1666666716337204</v>
      </c>
      <c r="R64" s="29">
        <v>0.43396225571632385</v>
      </c>
      <c r="S64" s="5" t="s">
        <v>18</v>
      </c>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15" t="e">
        <f>#REF!</f>
        <v>#REF!</v>
      </c>
      <c r="B66" s="16">
        <f t="shared" ref="B66:R66" si="0">SUMIF($A$2:$A$64,$A$66,B2:B64)</f>
        <v>0</v>
      </c>
      <c r="C66" s="17">
        <f t="shared" si="0"/>
        <v>0</v>
      </c>
      <c r="D66" s="17">
        <f t="shared" si="0"/>
        <v>0</v>
      </c>
      <c r="E66" s="17">
        <f t="shared" si="0"/>
        <v>0</v>
      </c>
      <c r="F66" s="17">
        <f t="shared" si="0"/>
        <v>0</v>
      </c>
      <c r="G66" s="17">
        <f t="shared" si="0"/>
        <v>0</v>
      </c>
      <c r="H66" s="17">
        <f t="shared" si="0"/>
        <v>0</v>
      </c>
      <c r="I66" s="17">
        <f t="shared" si="0"/>
        <v>0</v>
      </c>
      <c r="J66" s="17">
        <f t="shared" si="0"/>
        <v>0</v>
      </c>
      <c r="K66" s="17">
        <f t="shared" si="0"/>
        <v>0</v>
      </c>
      <c r="L66" s="17">
        <f t="shared" si="0"/>
        <v>0</v>
      </c>
      <c r="M66" s="17">
        <f t="shared" si="0"/>
        <v>0</v>
      </c>
      <c r="N66" s="17">
        <f t="shared" si="0"/>
        <v>0</v>
      </c>
      <c r="O66" s="17">
        <f t="shared" si="0"/>
        <v>0</v>
      </c>
      <c r="P66" s="17">
        <f t="shared" si="0"/>
        <v>0</v>
      </c>
      <c r="Q66" s="17">
        <f t="shared" si="0"/>
        <v>0</v>
      </c>
      <c r="R66" s="17">
        <f t="shared" si="0"/>
        <v>0</v>
      </c>
      <c r="S66" s="2"/>
      <c r="T66" s="2"/>
      <c r="U66" s="2"/>
      <c r="V66" s="2"/>
      <c r="W66" s="2"/>
      <c r="X66" s="2"/>
      <c r="Y66" s="2"/>
      <c r="Z66" s="2"/>
    </row>
    <row r="67" spans="1:26" ht="12.75" customHeight="1" x14ac:dyDescent="0.25">
      <c r="A67" s="2" t="s">
        <v>102</v>
      </c>
      <c r="B67" s="19">
        <f t="shared" ref="B67:R67" si="1">MIN(B2:B64)</f>
        <v>5.7196989059448242</v>
      </c>
      <c r="C67" s="21">
        <f t="shared" si="1"/>
        <v>0.22289156913757324</v>
      </c>
      <c r="D67" s="21">
        <f t="shared" si="1"/>
        <v>0.30263158679008484</v>
      </c>
      <c r="E67" s="21">
        <f t="shared" si="1"/>
        <v>0.51999998092651367</v>
      </c>
      <c r="F67" s="21">
        <f t="shared" si="1"/>
        <v>0.6875</v>
      </c>
      <c r="G67" s="21">
        <f t="shared" si="1"/>
        <v>8.0645158886909485E-2</v>
      </c>
      <c r="H67" s="21">
        <f t="shared" si="1"/>
        <v>0</v>
      </c>
      <c r="I67" s="21">
        <f t="shared" si="1"/>
        <v>0.3404255211353302</v>
      </c>
      <c r="J67" s="21">
        <f t="shared" si="1"/>
        <v>0.13978494703769684</v>
      </c>
      <c r="K67" s="21">
        <f t="shared" si="1"/>
        <v>0.20588235557079315</v>
      </c>
      <c r="L67" s="21">
        <f t="shared" si="1"/>
        <v>0.10476190596818924</v>
      </c>
      <c r="M67" s="21">
        <f t="shared" si="1"/>
        <v>0.18918919563293457</v>
      </c>
      <c r="N67" s="21">
        <f t="shared" si="1"/>
        <v>8.59375E-2</v>
      </c>
      <c r="O67" s="34">
        <f t="shared" si="1"/>
        <v>0</v>
      </c>
      <c r="P67" s="21">
        <f t="shared" si="1"/>
        <v>0</v>
      </c>
      <c r="Q67" s="21">
        <f t="shared" si="1"/>
        <v>0.11940298229455948</v>
      </c>
      <c r="R67" s="21">
        <f t="shared" si="1"/>
        <v>0.1607142835855484</v>
      </c>
      <c r="S67" s="2"/>
      <c r="T67" s="2"/>
      <c r="U67" s="2"/>
      <c r="V67" s="2"/>
      <c r="W67" s="2"/>
      <c r="X67" s="2"/>
      <c r="Y67" s="2"/>
      <c r="Z67" s="2"/>
    </row>
    <row r="68" spans="1:26" ht="12.75" customHeight="1" x14ac:dyDescent="0.25">
      <c r="A68" s="2" t="s">
        <v>103</v>
      </c>
      <c r="B68" s="19">
        <f t="shared" ref="B68:R68" si="2">MEDIAN(B2:B64)</f>
        <v>6.7775216102600098</v>
      </c>
      <c r="C68" s="21">
        <f t="shared" si="2"/>
        <v>0.3660714328289032</v>
      </c>
      <c r="D68" s="21">
        <f t="shared" si="2"/>
        <v>0.63849765062332153</v>
      </c>
      <c r="E68" s="21">
        <f t="shared" si="2"/>
        <v>0.6694214940071106</v>
      </c>
      <c r="F68" s="21">
        <f t="shared" si="2"/>
        <v>0.81720429658889771</v>
      </c>
      <c r="G68" s="21">
        <f t="shared" si="2"/>
        <v>0.27777779102325439</v>
      </c>
      <c r="H68" s="21">
        <f t="shared" si="2"/>
        <v>0.23684211075305939</v>
      </c>
      <c r="I68" s="21">
        <f t="shared" si="2"/>
        <v>0.54545456171035767</v>
      </c>
      <c r="J68" s="21">
        <f t="shared" si="2"/>
        <v>0.28048780560493469</v>
      </c>
      <c r="K68" s="21">
        <f t="shared" si="2"/>
        <v>0.48717948794364929</v>
      </c>
      <c r="L68" s="21">
        <f t="shared" si="2"/>
        <v>0.24545454978942871</v>
      </c>
      <c r="M68" s="21">
        <f t="shared" si="2"/>
        <v>0.33633634448051453</v>
      </c>
      <c r="N68" s="21">
        <f t="shared" si="2"/>
        <v>0.20689655840396881</v>
      </c>
      <c r="O68" s="34">
        <f t="shared" si="2"/>
        <v>2.247191034257412E-2</v>
      </c>
      <c r="P68" s="21">
        <f t="shared" si="2"/>
        <v>0.5</v>
      </c>
      <c r="Q68" s="21">
        <f t="shared" si="2"/>
        <v>0.28571429848670959</v>
      </c>
      <c r="R68" s="21">
        <f t="shared" si="2"/>
        <v>0.43902438879013062</v>
      </c>
      <c r="S68" s="2"/>
      <c r="T68" s="2"/>
      <c r="U68" s="2"/>
      <c r="V68" s="2"/>
      <c r="W68" s="2"/>
      <c r="X68" s="2"/>
      <c r="Y68" s="2"/>
      <c r="Z68" s="2"/>
    </row>
    <row r="69" spans="1:26" ht="12.75" customHeight="1" x14ac:dyDescent="0.25">
      <c r="A69" s="2" t="s">
        <v>104</v>
      </c>
      <c r="B69" s="19">
        <f t="shared" ref="B69:R69" si="3">MAX(B2:B64)</f>
        <v>7.6699466705322266</v>
      </c>
      <c r="C69" s="21">
        <f t="shared" si="3"/>
        <v>0.66666668653488159</v>
      </c>
      <c r="D69" s="21">
        <f t="shared" si="3"/>
        <v>0.82242989540100098</v>
      </c>
      <c r="E69" s="21">
        <f t="shared" si="3"/>
        <v>0.84666669368743896</v>
      </c>
      <c r="F69" s="21">
        <f t="shared" si="3"/>
        <v>0.9529411792755127</v>
      </c>
      <c r="G69" s="21">
        <f t="shared" si="3"/>
        <v>0.640625</v>
      </c>
      <c r="H69" s="21">
        <f t="shared" si="3"/>
        <v>0.70588237047195435</v>
      </c>
      <c r="I69" s="21">
        <f t="shared" si="3"/>
        <v>0.90163934230804443</v>
      </c>
      <c r="J69" s="21">
        <f t="shared" si="3"/>
        <v>0.63529413938522339</v>
      </c>
      <c r="K69" s="21">
        <f t="shared" si="3"/>
        <v>0.77499997615814209</v>
      </c>
      <c r="L69" s="21">
        <f t="shared" si="3"/>
        <v>0.57142859697341919</v>
      </c>
      <c r="M69" s="21">
        <f t="shared" si="3"/>
        <v>0.67241376638412476</v>
      </c>
      <c r="N69" s="21">
        <f t="shared" si="3"/>
        <v>0.38372093439102173</v>
      </c>
      <c r="O69" s="34">
        <f t="shared" si="3"/>
        <v>8.8235296308994293E-2</v>
      </c>
      <c r="P69" s="21">
        <f t="shared" si="3"/>
        <v>0.84210526943206787</v>
      </c>
      <c r="Q69" s="21">
        <f t="shared" si="3"/>
        <v>0.61290323734283447</v>
      </c>
      <c r="R69" s="21">
        <f t="shared" si="3"/>
        <v>0.68571430444717407</v>
      </c>
      <c r="S69" s="2"/>
      <c r="T69" s="2"/>
      <c r="U69" s="2"/>
      <c r="V69" s="2"/>
      <c r="W69" s="2"/>
      <c r="X69" s="2"/>
      <c r="Y69" s="2"/>
      <c r="Z69" s="2"/>
    </row>
    <row r="70" spans="1:26" ht="12.75" customHeight="1" x14ac:dyDescent="0.25">
      <c r="A70" s="2" t="s">
        <v>105</v>
      </c>
      <c r="B70" s="10" t="e">
        <f>RANK(B66,B2:B64,0)</f>
        <v>#N/A</v>
      </c>
      <c r="C70" s="10" t="e">
        <f>RANK(C66,C2:C64,1)</f>
        <v>#N/A</v>
      </c>
      <c r="D70" s="10" t="e">
        <f>RANK(D66,D2:D64,0)</f>
        <v>#N/A</v>
      </c>
      <c r="E70" s="10" t="e">
        <f>RANK(E66,E2:E64,1)</f>
        <v>#N/A</v>
      </c>
      <c r="F70" s="10" t="e">
        <f>RANK(F66,F2:F64,0)</f>
        <v>#N/A</v>
      </c>
      <c r="G70" s="10" t="e">
        <f t="shared" ref="G70:R70" si="4">RANK(G66,G2:G64,1)</f>
        <v>#N/A</v>
      </c>
      <c r="H70" s="10">
        <f t="shared" si="4"/>
        <v>1</v>
      </c>
      <c r="I70" s="10" t="e">
        <f t="shared" si="4"/>
        <v>#N/A</v>
      </c>
      <c r="J70" s="10" t="e">
        <f t="shared" si="4"/>
        <v>#N/A</v>
      </c>
      <c r="K70" s="10" t="e">
        <f t="shared" si="4"/>
        <v>#N/A</v>
      </c>
      <c r="L70" s="10" t="e">
        <f t="shared" si="4"/>
        <v>#N/A</v>
      </c>
      <c r="M70" s="10" t="e">
        <f t="shared" si="4"/>
        <v>#N/A</v>
      </c>
      <c r="N70" s="10" t="e">
        <f t="shared" si="4"/>
        <v>#N/A</v>
      </c>
      <c r="O70" s="10">
        <f t="shared" si="4"/>
        <v>1</v>
      </c>
      <c r="P70" s="10">
        <f t="shared" si="4"/>
        <v>1</v>
      </c>
      <c r="Q70" s="10" t="e">
        <f t="shared" si="4"/>
        <v>#N/A</v>
      </c>
      <c r="R70" s="10" t="e">
        <f t="shared" si="4"/>
        <v>#N/A</v>
      </c>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2" width="16.42578125" customWidth="1"/>
    <col min="3" max="3" width="32.42578125" customWidth="1"/>
    <col min="4" max="4" width="21.42578125" customWidth="1"/>
    <col min="5" max="5" width="21.85546875" customWidth="1"/>
    <col min="6" max="6" width="21" customWidth="1"/>
    <col min="7" max="7" width="20.7109375" customWidth="1"/>
    <col min="8" max="8" width="21.85546875" customWidth="1"/>
    <col min="9" max="9" width="22.42578125" customWidth="1"/>
    <col min="10" max="10" width="19.7109375" customWidth="1"/>
    <col min="11" max="11" width="19.42578125" customWidth="1"/>
    <col min="12" max="12" width="30" customWidth="1"/>
    <col min="13" max="13" width="26.7109375" customWidth="1"/>
    <col min="14" max="14" width="25.28515625" customWidth="1"/>
    <col min="15" max="26" width="8.7109375" customWidth="1"/>
  </cols>
  <sheetData>
    <row r="1" spans="1:26" ht="87" customHeight="1" x14ac:dyDescent="0.25">
      <c r="A1" s="35" t="s">
        <v>0</v>
      </c>
      <c r="B1" s="36" t="s">
        <v>6</v>
      </c>
      <c r="C1" s="35" t="s">
        <v>168</v>
      </c>
      <c r="D1" s="35" t="s">
        <v>169</v>
      </c>
      <c r="E1" s="35" t="s">
        <v>170</v>
      </c>
      <c r="F1" s="35" t="s">
        <v>171</v>
      </c>
      <c r="G1" s="35" t="s">
        <v>172</v>
      </c>
      <c r="H1" s="35" t="s">
        <v>173</v>
      </c>
      <c r="I1" s="35" t="s">
        <v>174</v>
      </c>
      <c r="J1" s="35" t="s">
        <v>175</v>
      </c>
      <c r="K1" s="35" t="s">
        <v>176</v>
      </c>
      <c r="L1" s="35" t="s">
        <v>177</v>
      </c>
      <c r="M1" s="35" t="s">
        <v>178</v>
      </c>
      <c r="N1" s="1" t="s">
        <v>13</v>
      </c>
      <c r="O1" s="2"/>
      <c r="P1" s="2"/>
      <c r="Q1" s="2"/>
      <c r="R1" s="2"/>
      <c r="S1" s="2"/>
      <c r="T1" s="2"/>
      <c r="U1" s="2"/>
      <c r="V1" s="2"/>
      <c r="W1" s="2"/>
      <c r="X1" s="2"/>
      <c r="Y1" s="2"/>
      <c r="Z1" s="2"/>
    </row>
    <row r="2" spans="1:26" ht="12.75" customHeight="1" x14ac:dyDescent="0.25">
      <c r="A2" s="2" t="s">
        <v>14</v>
      </c>
      <c r="B2" s="26">
        <v>5.4384164810180664</v>
      </c>
      <c r="C2" s="21">
        <v>0.72440946102142334</v>
      </c>
      <c r="D2" s="21">
        <v>0.60629922151565552</v>
      </c>
      <c r="E2" s="21">
        <v>0.29133859276771545</v>
      </c>
      <c r="F2" s="21">
        <v>0.45161288976669312</v>
      </c>
      <c r="G2" s="21">
        <v>0.32258063554763794</v>
      </c>
      <c r="H2" s="21">
        <v>0.43548387289047241</v>
      </c>
      <c r="I2" s="21">
        <v>0.37096774578094482</v>
      </c>
      <c r="J2" s="21">
        <v>0.48387095332145691</v>
      </c>
      <c r="K2" s="21">
        <v>0.33870968222618103</v>
      </c>
      <c r="L2" s="21">
        <v>0.50400000810623169</v>
      </c>
      <c r="M2" s="21">
        <v>0.37190082669258118</v>
      </c>
      <c r="N2" s="2" t="s">
        <v>15</v>
      </c>
      <c r="O2" s="2"/>
      <c r="P2" s="2"/>
      <c r="Q2" s="2"/>
      <c r="R2" s="2"/>
      <c r="S2" s="2"/>
      <c r="T2" s="2"/>
      <c r="U2" s="2"/>
      <c r="V2" s="2"/>
      <c r="W2" s="2"/>
      <c r="X2" s="2"/>
      <c r="Y2" s="2"/>
      <c r="Z2" s="2"/>
    </row>
    <row r="3" spans="1:26" ht="12.75" customHeight="1" x14ac:dyDescent="0.25">
      <c r="A3" s="2" t="s">
        <v>29</v>
      </c>
      <c r="B3" s="26">
        <v>6.1262931823730469</v>
      </c>
      <c r="C3" s="21">
        <v>0.88970589637756348</v>
      </c>
      <c r="D3" s="21">
        <v>0.61029410362243652</v>
      </c>
      <c r="E3" s="21">
        <v>0.32352942228317261</v>
      </c>
      <c r="F3" s="21">
        <v>0.24509803950786591</v>
      </c>
      <c r="G3" s="21">
        <v>0.27450981736183167</v>
      </c>
      <c r="H3" s="21">
        <v>0.26470589637756348</v>
      </c>
      <c r="I3" s="21">
        <v>0.30392158031463623</v>
      </c>
      <c r="J3" s="21">
        <v>0.27450981736183167</v>
      </c>
      <c r="K3" s="21">
        <v>0.24509803950786591</v>
      </c>
      <c r="L3" s="21">
        <v>0.59558820724487305</v>
      </c>
      <c r="M3" s="21">
        <v>0.6111111044883728</v>
      </c>
      <c r="N3" s="2" t="s">
        <v>24</v>
      </c>
      <c r="O3" s="2"/>
      <c r="P3" s="2"/>
      <c r="Q3" s="2"/>
      <c r="R3" s="2"/>
      <c r="S3" s="2"/>
      <c r="T3" s="2"/>
      <c r="U3" s="2"/>
      <c r="V3" s="2"/>
      <c r="W3" s="2"/>
      <c r="X3" s="2"/>
      <c r="Y3" s="2"/>
      <c r="Z3" s="2"/>
    </row>
    <row r="4" spans="1:26" ht="12.75" customHeight="1" x14ac:dyDescent="0.25">
      <c r="A4" s="2" t="s">
        <v>17</v>
      </c>
      <c r="B4" s="26">
        <v>6.4568181037902832</v>
      </c>
      <c r="C4" s="21">
        <v>0.94736844301223755</v>
      </c>
      <c r="D4" s="21">
        <v>0.61654132604598999</v>
      </c>
      <c r="E4" s="21">
        <v>0.23308271169662476</v>
      </c>
      <c r="F4" s="21">
        <v>0.29487180709838867</v>
      </c>
      <c r="G4" s="21">
        <v>0.28205129504203796</v>
      </c>
      <c r="H4" s="21">
        <v>0.25641027092933655</v>
      </c>
      <c r="I4" s="21">
        <v>0.24358974397182465</v>
      </c>
      <c r="J4" s="21">
        <v>0.26923078298568726</v>
      </c>
      <c r="K4" s="21">
        <v>0.26923078298568726</v>
      </c>
      <c r="L4" s="21">
        <v>0.60150372982025146</v>
      </c>
      <c r="M4" s="21">
        <v>0.5307692289352417</v>
      </c>
      <c r="N4" s="2" t="s">
        <v>18</v>
      </c>
      <c r="O4" s="2"/>
      <c r="P4" s="2"/>
      <c r="Q4" s="2"/>
      <c r="R4" s="2"/>
      <c r="S4" s="2"/>
      <c r="T4" s="2"/>
      <c r="U4" s="2"/>
      <c r="V4" s="2"/>
      <c r="W4" s="2"/>
      <c r="X4" s="2"/>
      <c r="Y4" s="2"/>
      <c r="Z4" s="2"/>
    </row>
    <row r="5" spans="1:26" ht="12.75" customHeight="1" x14ac:dyDescent="0.25">
      <c r="A5" s="2" t="s">
        <v>19</v>
      </c>
      <c r="B5" s="26">
        <v>5.0372085571289063</v>
      </c>
      <c r="C5" s="21">
        <v>0.82499998807907104</v>
      </c>
      <c r="D5" s="21">
        <v>0.72500002384185791</v>
      </c>
      <c r="E5" s="21">
        <v>0.47499999403953552</v>
      </c>
      <c r="F5" s="21">
        <v>0.421875</v>
      </c>
      <c r="G5" s="21">
        <v>0.375</v>
      </c>
      <c r="H5" s="21">
        <v>0.328125</v>
      </c>
      <c r="I5" s="21">
        <v>0.28125</v>
      </c>
      <c r="J5" s="21">
        <v>0.296875</v>
      </c>
      <c r="K5" s="21">
        <v>0.328125</v>
      </c>
      <c r="L5" s="21">
        <v>0.57499998807907104</v>
      </c>
      <c r="M5" s="21">
        <v>0.61538463830947876</v>
      </c>
      <c r="N5" s="2" t="s">
        <v>18</v>
      </c>
      <c r="O5" s="2"/>
      <c r="P5" s="2"/>
      <c r="Q5" s="2"/>
      <c r="R5" s="2"/>
      <c r="S5" s="2"/>
      <c r="T5" s="2"/>
      <c r="U5" s="2"/>
      <c r="V5" s="2"/>
      <c r="W5" s="2"/>
      <c r="X5" s="2"/>
      <c r="Y5" s="2"/>
      <c r="Z5" s="2"/>
    </row>
    <row r="6" spans="1:26" ht="12.75" customHeight="1" x14ac:dyDescent="0.25">
      <c r="A6" s="2" t="s">
        <v>16</v>
      </c>
      <c r="B6" s="26">
        <v>6.4959745407104492</v>
      </c>
      <c r="C6" s="21">
        <v>0.68999999761581421</v>
      </c>
      <c r="D6" s="21">
        <v>0.77999997138977051</v>
      </c>
      <c r="E6" s="21">
        <v>0.12999999523162842</v>
      </c>
      <c r="F6" s="21">
        <v>0.1492537260055542</v>
      </c>
      <c r="G6" s="21">
        <v>8.9552238583564758E-2</v>
      </c>
      <c r="H6" s="21">
        <v>0.10447761416435242</v>
      </c>
      <c r="I6" s="21">
        <v>4.4776119291782379E-2</v>
      </c>
      <c r="J6" s="21">
        <v>0.11940298229455948</v>
      </c>
      <c r="K6" s="21">
        <v>7.46268630027771E-2</v>
      </c>
      <c r="L6" s="21">
        <v>0.75999999046325684</v>
      </c>
      <c r="M6" s="21">
        <v>0.58163267374038696</v>
      </c>
      <c r="N6" s="2" t="s">
        <v>15</v>
      </c>
      <c r="O6" s="2"/>
      <c r="P6" s="2"/>
      <c r="Q6" s="2"/>
      <c r="R6" s="2"/>
      <c r="S6" s="2"/>
      <c r="T6" s="2"/>
      <c r="U6" s="2"/>
      <c r="V6" s="2"/>
      <c r="W6" s="2"/>
      <c r="X6" s="2"/>
      <c r="Y6" s="2"/>
      <c r="Z6" s="2"/>
    </row>
    <row r="7" spans="1:26" ht="12.75" customHeight="1" x14ac:dyDescent="0.25">
      <c r="A7" s="2" t="s">
        <v>20</v>
      </c>
      <c r="B7" s="26">
        <v>5.3555879592895508</v>
      </c>
      <c r="C7" s="21">
        <v>0.85806453227996826</v>
      </c>
      <c r="D7" s="21">
        <v>0.74193549156188965</v>
      </c>
      <c r="E7" s="21">
        <v>0.23870967328548431</v>
      </c>
      <c r="F7" s="21">
        <v>0.30769231915473938</v>
      </c>
      <c r="G7" s="21">
        <v>0.29670330882072449</v>
      </c>
      <c r="H7" s="21">
        <v>0.30769231915473938</v>
      </c>
      <c r="I7" s="21">
        <v>0.25274726748466492</v>
      </c>
      <c r="J7" s="21">
        <v>0.29670330882072449</v>
      </c>
      <c r="K7" s="21">
        <v>0.2747252881526947</v>
      </c>
      <c r="L7" s="21">
        <v>0.70322579145431519</v>
      </c>
      <c r="M7" s="21">
        <v>0.69934642314910889</v>
      </c>
      <c r="N7" s="2" t="s">
        <v>21</v>
      </c>
      <c r="O7" s="2"/>
      <c r="P7" s="2"/>
      <c r="Q7" s="2"/>
      <c r="R7" s="2"/>
      <c r="S7" s="2"/>
      <c r="T7" s="2"/>
      <c r="U7" s="2"/>
      <c r="V7" s="2"/>
      <c r="W7" s="2"/>
      <c r="X7" s="2"/>
      <c r="Y7" s="2"/>
      <c r="Z7" s="2"/>
    </row>
    <row r="8" spans="1:26" ht="12.75" customHeight="1" x14ac:dyDescent="0.25">
      <c r="A8" s="2" t="s">
        <v>22</v>
      </c>
      <c r="B8" s="26">
        <v>5.5721020698547363</v>
      </c>
      <c r="C8" s="21">
        <v>0.36764705181121826</v>
      </c>
      <c r="D8" s="21">
        <v>0.82352942228317261</v>
      </c>
      <c r="E8" s="21">
        <v>0.16911764442920685</v>
      </c>
      <c r="F8" s="21">
        <v>0.1607142835855484</v>
      </c>
      <c r="G8" s="21">
        <v>0.1339285671710968</v>
      </c>
      <c r="H8" s="21">
        <v>0.1339285671710968</v>
      </c>
      <c r="I8" s="21">
        <v>8.9285716414451599E-2</v>
      </c>
      <c r="J8" s="21">
        <v>9.8214283585548401E-2</v>
      </c>
      <c r="K8" s="21">
        <v>0.125</v>
      </c>
      <c r="L8" s="21">
        <v>0.80597013235092163</v>
      </c>
      <c r="M8" s="21">
        <v>0.50381678342819214</v>
      </c>
      <c r="N8" s="2" t="s">
        <v>15</v>
      </c>
      <c r="O8" s="2"/>
      <c r="P8" s="2"/>
      <c r="Q8" s="2"/>
      <c r="R8" s="2"/>
      <c r="S8" s="2"/>
      <c r="T8" s="2"/>
      <c r="U8" s="2"/>
      <c r="V8" s="2"/>
      <c r="W8" s="2"/>
      <c r="X8" s="2"/>
      <c r="Y8" s="2"/>
      <c r="Z8" s="2"/>
    </row>
    <row r="9" spans="1:26" ht="12.75" customHeight="1" x14ac:dyDescent="0.25">
      <c r="A9" s="2" t="s">
        <v>25</v>
      </c>
      <c r="B9" s="26">
        <v>5.4952139854431152</v>
      </c>
      <c r="C9" s="21">
        <v>0.73846155405044556</v>
      </c>
      <c r="D9" s="21">
        <v>0.67692309617996216</v>
      </c>
      <c r="E9" s="21">
        <v>0.27692309021949768</v>
      </c>
      <c r="F9" s="21">
        <v>0.3461538553237915</v>
      </c>
      <c r="G9" s="21">
        <v>0.3461538553237915</v>
      </c>
      <c r="H9" s="21">
        <v>0.30769231915473938</v>
      </c>
      <c r="I9" s="21">
        <v>0.32051283121109009</v>
      </c>
      <c r="J9" s="21">
        <v>0.3333333432674408</v>
      </c>
      <c r="K9" s="21">
        <v>0.3333333432674408</v>
      </c>
      <c r="L9" s="21">
        <v>0.62790697813034058</v>
      </c>
      <c r="M9" s="21">
        <v>0.42741936445236206</v>
      </c>
      <c r="N9" s="2" t="s">
        <v>26</v>
      </c>
      <c r="O9" s="2"/>
      <c r="P9" s="2"/>
      <c r="Q9" s="2"/>
      <c r="R9" s="2"/>
      <c r="S9" s="2"/>
      <c r="T9" s="2"/>
      <c r="U9" s="2"/>
      <c r="V9" s="2"/>
      <c r="W9" s="2"/>
      <c r="X9" s="2"/>
      <c r="Y9" s="2"/>
      <c r="Z9" s="2"/>
    </row>
    <row r="10" spans="1:26" ht="12.75" customHeight="1" x14ac:dyDescent="0.25">
      <c r="A10" s="2" t="s">
        <v>23</v>
      </c>
      <c r="B10" s="26">
        <v>5.5986671447753906</v>
      </c>
      <c r="C10" s="21">
        <v>0.58695650100708008</v>
      </c>
      <c r="D10" s="21">
        <v>0.80978262424468994</v>
      </c>
      <c r="E10" s="21">
        <v>0.22282609343528748</v>
      </c>
      <c r="F10" s="21">
        <v>0.21568627655506134</v>
      </c>
      <c r="G10" s="21">
        <v>0.15686275064945221</v>
      </c>
      <c r="H10" s="21">
        <v>0.15032680332660675</v>
      </c>
      <c r="I10" s="21">
        <v>0.1111111119389534</v>
      </c>
      <c r="J10" s="21">
        <v>0.16993464529514313</v>
      </c>
      <c r="K10" s="21">
        <v>0.17647059261798859</v>
      </c>
      <c r="L10" s="21">
        <v>0.78021979331970215</v>
      </c>
      <c r="M10" s="21">
        <v>0.58857142925262451</v>
      </c>
      <c r="N10" s="2" t="s">
        <v>24</v>
      </c>
      <c r="O10" s="2"/>
      <c r="P10" s="2"/>
      <c r="Q10" s="2"/>
      <c r="R10" s="2"/>
      <c r="S10" s="2"/>
      <c r="T10" s="2"/>
      <c r="U10" s="2"/>
      <c r="V10" s="2"/>
      <c r="W10" s="2"/>
      <c r="X10" s="2"/>
      <c r="Y10" s="2"/>
      <c r="Z10" s="2"/>
    </row>
    <row r="11" spans="1:26" ht="12.75" customHeight="1" x14ac:dyDescent="0.25">
      <c r="A11" s="2" t="s">
        <v>27</v>
      </c>
      <c r="B11" s="26">
        <v>3.7991547584533691</v>
      </c>
      <c r="C11" s="21">
        <v>0.78301888704299927</v>
      </c>
      <c r="D11" s="21">
        <v>0.78301888704299927</v>
      </c>
      <c r="E11" s="21">
        <v>0.48113209009170532</v>
      </c>
      <c r="F11" s="21">
        <v>0.44186046719551086</v>
      </c>
      <c r="G11" s="21">
        <v>0.46511629223823547</v>
      </c>
      <c r="H11" s="21">
        <v>0.38372093439102173</v>
      </c>
      <c r="I11" s="21">
        <v>0.38372093439102173</v>
      </c>
      <c r="J11" s="21">
        <v>0.45348837971687317</v>
      </c>
      <c r="K11" s="21">
        <v>0.45348837971687317</v>
      </c>
      <c r="L11" s="21">
        <v>0.69811320304870605</v>
      </c>
      <c r="M11" s="21">
        <v>0.70588237047195435</v>
      </c>
      <c r="N11" s="2" t="s">
        <v>24</v>
      </c>
      <c r="O11" s="2"/>
      <c r="P11" s="2"/>
      <c r="Q11" s="2"/>
      <c r="R11" s="2"/>
      <c r="S11" s="2"/>
      <c r="T11" s="2"/>
      <c r="U11" s="2"/>
      <c r="V11" s="2"/>
      <c r="W11" s="2"/>
      <c r="X11" s="2"/>
      <c r="Y11" s="2"/>
      <c r="Z11" s="2"/>
    </row>
    <row r="12" spans="1:26" ht="12.75" customHeight="1" x14ac:dyDescent="0.25">
      <c r="A12" s="2" t="s">
        <v>28</v>
      </c>
      <c r="B12" s="26">
        <v>5.8451757431030273</v>
      </c>
      <c r="C12" s="21">
        <v>0.76363635063171387</v>
      </c>
      <c r="D12" s="21">
        <v>0.6454545259475708</v>
      </c>
      <c r="E12" s="21">
        <v>0.36363637447357178</v>
      </c>
      <c r="F12" s="21">
        <v>0.35632184147834778</v>
      </c>
      <c r="G12" s="21">
        <v>0.34482759237289429</v>
      </c>
      <c r="H12" s="21">
        <v>0.29885056614875793</v>
      </c>
      <c r="I12" s="21">
        <v>0.19540229439735413</v>
      </c>
      <c r="J12" s="21">
        <v>0.3333333432674408</v>
      </c>
      <c r="K12" s="21">
        <v>0.20689655840396881</v>
      </c>
      <c r="L12" s="21">
        <v>0.57798165082931519</v>
      </c>
      <c r="M12" s="21">
        <v>0.47058823704719543</v>
      </c>
      <c r="N12" s="2" t="s">
        <v>26</v>
      </c>
      <c r="O12" s="2"/>
      <c r="P12" s="2"/>
      <c r="Q12" s="2"/>
      <c r="R12" s="2"/>
      <c r="S12" s="2"/>
      <c r="T12" s="2"/>
      <c r="U12" s="2"/>
      <c r="V12" s="2"/>
      <c r="W12" s="2"/>
      <c r="X12" s="2"/>
      <c r="Y12" s="2"/>
      <c r="Z12" s="2"/>
    </row>
    <row r="13" spans="1:26" ht="12.75" customHeight="1" x14ac:dyDescent="0.25">
      <c r="A13" s="2" t="s">
        <v>30</v>
      </c>
      <c r="B13" s="26">
        <v>5.7101984024047852</v>
      </c>
      <c r="C13" s="21">
        <v>0.77118641138076782</v>
      </c>
      <c r="D13" s="21">
        <v>0.55084747076034546</v>
      </c>
      <c r="E13" s="21">
        <v>0.40677964687347412</v>
      </c>
      <c r="F13" s="21">
        <v>0.41379311680793762</v>
      </c>
      <c r="G13" s="21">
        <v>0.37931033968925476</v>
      </c>
      <c r="H13" s="21">
        <v>0.3333333432674408</v>
      </c>
      <c r="I13" s="21">
        <v>0.29885056614875793</v>
      </c>
      <c r="J13" s="21">
        <v>0.34482759237289429</v>
      </c>
      <c r="K13" s="21">
        <v>0.31034481525421143</v>
      </c>
      <c r="L13" s="21">
        <v>0.5</v>
      </c>
      <c r="M13" s="21">
        <v>0.54867255687713623</v>
      </c>
      <c r="N13" s="2" t="s">
        <v>15</v>
      </c>
      <c r="O13" s="2"/>
      <c r="P13" s="2"/>
      <c r="Q13" s="2"/>
      <c r="R13" s="2"/>
      <c r="S13" s="2"/>
      <c r="T13" s="2"/>
      <c r="U13" s="2"/>
      <c r="V13" s="2"/>
      <c r="W13" s="2"/>
      <c r="X13" s="2"/>
      <c r="Y13" s="2"/>
      <c r="Z13" s="2"/>
    </row>
    <row r="14" spans="1:26" ht="12.75" customHeight="1" x14ac:dyDescent="0.25">
      <c r="A14" s="2" t="s">
        <v>32</v>
      </c>
      <c r="B14" s="26">
        <v>6.5427522659301758</v>
      </c>
      <c r="C14" s="21">
        <v>0.76351350545883179</v>
      </c>
      <c r="D14" s="21">
        <v>0.41216215491294861</v>
      </c>
      <c r="E14" s="21">
        <v>0.29054054617881775</v>
      </c>
      <c r="F14" s="21">
        <v>0.4047619104385376</v>
      </c>
      <c r="G14" s="21">
        <v>0.3928571343421936</v>
      </c>
      <c r="H14" s="21">
        <v>0.3333333432674408</v>
      </c>
      <c r="I14" s="21">
        <v>0.2976190447807312</v>
      </c>
      <c r="J14" s="21">
        <v>0.3928571343421936</v>
      </c>
      <c r="K14" s="21">
        <v>0.3452380895614624</v>
      </c>
      <c r="L14" s="21">
        <v>0.317241370677948</v>
      </c>
      <c r="M14" s="21">
        <v>0.46715328097343445</v>
      </c>
      <c r="N14" s="2" t="s">
        <v>15</v>
      </c>
      <c r="O14" s="2"/>
      <c r="P14" s="2"/>
      <c r="Q14" s="2"/>
      <c r="R14" s="2"/>
      <c r="S14" s="2"/>
      <c r="T14" s="2"/>
      <c r="U14" s="2"/>
      <c r="V14" s="2"/>
      <c r="W14" s="2"/>
      <c r="X14" s="2"/>
      <c r="Y14" s="2"/>
      <c r="Z14" s="2"/>
    </row>
    <row r="15" spans="1:26" ht="12.75" customHeight="1" x14ac:dyDescent="0.25">
      <c r="A15" s="2" t="s">
        <v>31</v>
      </c>
      <c r="B15" s="26">
        <v>5.2189846038818359</v>
      </c>
      <c r="C15" s="21">
        <v>0.78947371244430542</v>
      </c>
      <c r="D15" s="21">
        <v>0.59649121761322021</v>
      </c>
      <c r="E15" s="21">
        <v>0.35964912176132202</v>
      </c>
      <c r="F15" s="21">
        <v>0.40298506617546082</v>
      </c>
      <c r="G15" s="21">
        <v>0.41791045665740967</v>
      </c>
      <c r="H15" s="21">
        <v>0.3731343150138855</v>
      </c>
      <c r="I15" s="21">
        <v>0.2985074520111084</v>
      </c>
      <c r="J15" s="21">
        <v>0.41791045665740967</v>
      </c>
      <c r="K15" s="21">
        <v>0.3731343150138855</v>
      </c>
      <c r="L15" s="21">
        <v>0.57894736528396606</v>
      </c>
      <c r="M15" s="21">
        <v>0.60360360145568848</v>
      </c>
      <c r="N15" s="2" t="s">
        <v>18</v>
      </c>
      <c r="O15" s="2"/>
      <c r="P15" s="2"/>
      <c r="Q15" s="2"/>
      <c r="R15" s="2"/>
      <c r="S15" s="2"/>
      <c r="T15" s="2"/>
      <c r="U15" s="2"/>
      <c r="V15" s="2"/>
      <c r="W15" s="2"/>
      <c r="X15" s="2"/>
      <c r="Y15" s="2"/>
      <c r="Z15" s="2"/>
    </row>
    <row r="16" spans="1:26" ht="12.75" customHeight="1" x14ac:dyDescent="0.25">
      <c r="A16" s="2" t="s">
        <v>33</v>
      </c>
      <c r="B16" s="26">
        <v>5.5717906951904297</v>
      </c>
      <c r="C16" s="21">
        <v>0.8054053783416748</v>
      </c>
      <c r="D16" s="21">
        <v>0.65945947170257568</v>
      </c>
      <c r="E16" s="21">
        <v>0.36216217279434204</v>
      </c>
      <c r="F16" s="21">
        <v>0.39259257912635803</v>
      </c>
      <c r="G16" s="21">
        <v>0.32592591643333435</v>
      </c>
      <c r="H16" s="21">
        <v>0.30370369553565979</v>
      </c>
      <c r="I16" s="21">
        <v>0.26666668057441711</v>
      </c>
      <c r="J16" s="21">
        <v>0.31851851940155029</v>
      </c>
      <c r="K16" s="21">
        <v>0.29629629850387573</v>
      </c>
      <c r="L16" s="21">
        <v>0.6111111044883728</v>
      </c>
      <c r="M16" s="21">
        <v>0.52601158618927002</v>
      </c>
      <c r="N16" s="2" t="s">
        <v>26</v>
      </c>
      <c r="O16" s="2"/>
      <c r="P16" s="2"/>
      <c r="Q16" s="2"/>
      <c r="R16" s="2"/>
      <c r="S16" s="2"/>
      <c r="T16" s="2"/>
      <c r="U16" s="2"/>
      <c r="V16" s="2"/>
      <c r="W16" s="2"/>
      <c r="X16" s="2"/>
      <c r="Y16" s="2"/>
      <c r="Z16" s="2"/>
    </row>
    <row r="17" spans="1:26" ht="12.75" customHeight="1" x14ac:dyDescent="0.25">
      <c r="A17" s="2" t="s">
        <v>34</v>
      </c>
      <c r="B17" s="26">
        <v>4.6033287048339844</v>
      </c>
      <c r="C17" s="21">
        <v>0.8193548321723938</v>
      </c>
      <c r="D17" s="21">
        <v>0.6645161509513855</v>
      </c>
      <c r="E17" s="21">
        <v>0.3612903356552124</v>
      </c>
      <c r="F17" s="21">
        <v>0.52631580829620361</v>
      </c>
      <c r="G17" s="21">
        <v>0.52631580829620361</v>
      </c>
      <c r="H17" s="21">
        <v>0.46315789222717285</v>
      </c>
      <c r="I17" s="21">
        <v>0.42105263471603394</v>
      </c>
      <c r="J17" s="21">
        <v>0.47368422150611877</v>
      </c>
      <c r="K17" s="21">
        <v>0.40000000596046448</v>
      </c>
      <c r="L17" s="21">
        <v>0.59210526943206787</v>
      </c>
      <c r="M17" s="21">
        <v>0.48993289470672607</v>
      </c>
      <c r="N17" s="2" t="s">
        <v>35</v>
      </c>
      <c r="O17" s="2"/>
      <c r="P17" s="2"/>
      <c r="Q17" s="2"/>
      <c r="R17" s="2"/>
      <c r="S17" s="2"/>
      <c r="T17" s="2"/>
      <c r="U17" s="2"/>
      <c r="V17" s="2"/>
      <c r="W17" s="2"/>
      <c r="X17" s="2"/>
      <c r="Y17" s="2"/>
      <c r="Z17" s="2"/>
    </row>
    <row r="18" spans="1:26" ht="12.75" customHeight="1" x14ac:dyDescent="0.25">
      <c r="A18" s="2" t="s">
        <v>36</v>
      </c>
      <c r="B18" s="26">
        <v>5.6336169242858887</v>
      </c>
      <c r="C18" s="21">
        <v>0.79807692766189575</v>
      </c>
      <c r="D18" s="21">
        <v>0.53846156597137451</v>
      </c>
      <c r="E18" s="21">
        <v>0.31730768084526062</v>
      </c>
      <c r="F18" s="21">
        <v>0.45901638269424438</v>
      </c>
      <c r="G18" s="21">
        <v>0.4098360538482666</v>
      </c>
      <c r="H18" s="21">
        <v>0.39344263076782227</v>
      </c>
      <c r="I18" s="21">
        <v>0.4098360538482666</v>
      </c>
      <c r="J18" s="21">
        <v>0.44262295961380005</v>
      </c>
      <c r="K18" s="21">
        <v>0.34426230192184448</v>
      </c>
      <c r="L18" s="21">
        <v>0.39423078298568726</v>
      </c>
      <c r="M18" s="21">
        <v>0.52525252103805542</v>
      </c>
      <c r="N18" s="2" t="s">
        <v>35</v>
      </c>
      <c r="O18" s="2"/>
      <c r="P18" s="2"/>
      <c r="Q18" s="2"/>
      <c r="R18" s="2"/>
      <c r="S18" s="2"/>
      <c r="T18" s="2"/>
      <c r="U18" s="2"/>
      <c r="V18" s="2"/>
      <c r="W18" s="2"/>
      <c r="X18" s="2"/>
      <c r="Y18" s="2"/>
      <c r="Z18" s="2"/>
    </row>
    <row r="19" spans="1:26" ht="12.75" customHeight="1" x14ac:dyDescent="0.25">
      <c r="A19" s="2" t="s">
        <v>37</v>
      </c>
      <c r="B19" s="26">
        <v>6.4905433654785156</v>
      </c>
      <c r="C19" s="21">
        <v>0.82962960004806519</v>
      </c>
      <c r="D19" s="21">
        <v>0.5703703761100769</v>
      </c>
      <c r="E19" s="21">
        <v>0.31111112236976624</v>
      </c>
      <c r="F19" s="21">
        <v>0.3333333432674408</v>
      </c>
      <c r="G19" s="21">
        <v>0.3333333432674408</v>
      </c>
      <c r="H19" s="21">
        <v>0.30000001192092896</v>
      </c>
      <c r="I19" s="21">
        <v>0.30000001192092896</v>
      </c>
      <c r="J19" s="21">
        <v>0.32222223281860352</v>
      </c>
      <c r="K19" s="21">
        <v>0.25555557012557983</v>
      </c>
      <c r="L19" s="21">
        <v>0.35820895433425903</v>
      </c>
      <c r="M19" s="21">
        <v>0.42635658383369446</v>
      </c>
      <c r="N19" s="2" t="s">
        <v>18</v>
      </c>
      <c r="O19" s="2"/>
      <c r="P19" s="2"/>
      <c r="Q19" s="2"/>
      <c r="R19" s="2"/>
      <c r="S19" s="2"/>
      <c r="T19" s="2"/>
      <c r="U19" s="2"/>
      <c r="V19" s="2"/>
      <c r="W19" s="2"/>
      <c r="X19" s="2"/>
      <c r="Y19" s="2"/>
      <c r="Z19" s="2"/>
    </row>
    <row r="20" spans="1:26" ht="12.75" customHeight="1" x14ac:dyDescent="0.25">
      <c r="A20" s="2" t="s">
        <v>38</v>
      </c>
      <c r="B20" s="26">
        <v>5.6311883926391602</v>
      </c>
      <c r="C20" s="21">
        <v>0.80606061220169067</v>
      </c>
      <c r="D20" s="21">
        <v>0.59393942356109619</v>
      </c>
      <c r="E20" s="21">
        <v>0.39393940567970276</v>
      </c>
      <c r="F20" s="21">
        <v>0.29770991206169128</v>
      </c>
      <c r="G20" s="21">
        <v>0.32824426889419556</v>
      </c>
      <c r="H20" s="21">
        <v>0.32824426889419556</v>
      </c>
      <c r="I20" s="21">
        <v>0.28244274854660034</v>
      </c>
      <c r="J20" s="21">
        <v>0.32824426889419556</v>
      </c>
      <c r="K20" s="21">
        <v>0.30534350872039795</v>
      </c>
      <c r="L20" s="21">
        <v>0.59146338701248169</v>
      </c>
      <c r="M20" s="21">
        <v>0.62025314569473267</v>
      </c>
      <c r="N20" s="2" t="s">
        <v>24</v>
      </c>
      <c r="O20" s="2"/>
      <c r="P20" s="2"/>
      <c r="Q20" s="2"/>
      <c r="R20" s="2"/>
      <c r="S20" s="2"/>
      <c r="T20" s="2"/>
      <c r="U20" s="2"/>
      <c r="V20" s="2"/>
      <c r="W20" s="2"/>
      <c r="X20" s="2"/>
      <c r="Y20" s="2"/>
      <c r="Z20" s="2"/>
    </row>
    <row r="21" spans="1:26" ht="12.75" customHeight="1" x14ac:dyDescent="0.25">
      <c r="A21" s="2" t="s">
        <v>39</v>
      </c>
      <c r="B21" s="26">
        <v>6.1392269134521484</v>
      </c>
      <c r="C21" s="21">
        <v>0.87288135290145874</v>
      </c>
      <c r="D21" s="21">
        <v>0.52542370557785034</v>
      </c>
      <c r="E21" s="21">
        <v>0.38135594129562378</v>
      </c>
      <c r="F21" s="21">
        <v>0.40000000596046448</v>
      </c>
      <c r="G21" s="21">
        <v>0.34444445371627808</v>
      </c>
      <c r="H21" s="21">
        <v>0.31111112236976624</v>
      </c>
      <c r="I21" s="21">
        <v>0.26666668057441711</v>
      </c>
      <c r="J21" s="21">
        <v>0.35555556416511536</v>
      </c>
      <c r="K21" s="21">
        <v>0.30000001192092896</v>
      </c>
      <c r="L21" s="21">
        <v>0.51724135875701904</v>
      </c>
      <c r="M21" s="21">
        <v>0.52727270126342773</v>
      </c>
      <c r="N21" s="2" t="s">
        <v>15</v>
      </c>
      <c r="O21" s="2"/>
      <c r="P21" s="2"/>
      <c r="Q21" s="2"/>
      <c r="R21" s="2"/>
      <c r="S21" s="2"/>
      <c r="T21" s="2"/>
      <c r="U21" s="2"/>
      <c r="V21" s="2"/>
      <c r="W21" s="2"/>
      <c r="X21" s="2"/>
      <c r="Y21" s="2"/>
      <c r="Z21" s="2"/>
    </row>
    <row r="22" spans="1:26" ht="12.75" customHeight="1" x14ac:dyDescent="0.25">
      <c r="A22" s="2" t="s">
        <v>40</v>
      </c>
      <c r="B22" s="26">
        <v>5.403994083404541</v>
      </c>
      <c r="C22" s="21">
        <v>0.80327868461608887</v>
      </c>
      <c r="D22" s="21">
        <v>0.63934427499771118</v>
      </c>
      <c r="E22" s="21">
        <v>0.36065572500228882</v>
      </c>
      <c r="F22" s="21">
        <v>0.36170211434364319</v>
      </c>
      <c r="G22" s="21">
        <v>0.32978722453117371</v>
      </c>
      <c r="H22" s="21">
        <v>0.30851063132286072</v>
      </c>
      <c r="I22" s="21">
        <v>0.28723403811454773</v>
      </c>
      <c r="J22" s="21">
        <v>0.3404255211353302</v>
      </c>
      <c r="K22" s="21">
        <v>0.32978722453117371</v>
      </c>
      <c r="L22" s="21">
        <v>0.62809920310974121</v>
      </c>
      <c r="M22" s="21">
        <v>0.61538463830947876</v>
      </c>
      <c r="N22" s="2" t="s">
        <v>35</v>
      </c>
      <c r="O22" s="2"/>
      <c r="P22" s="2"/>
      <c r="Q22" s="2"/>
      <c r="R22" s="2"/>
      <c r="S22" s="2"/>
      <c r="T22" s="2"/>
      <c r="U22" s="2"/>
      <c r="V22" s="2"/>
      <c r="W22" s="2"/>
      <c r="X22" s="2"/>
      <c r="Y22" s="2"/>
      <c r="Z22" s="2"/>
    </row>
    <row r="23" spans="1:26" ht="12.75" customHeight="1" x14ac:dyDescent="0.25">
      <c r="A23" s="2" t="s">
        <v>76</v>
      </c>
      <c r="B23" s="26">
        <v>5.3984260559082031</v>
      </c>
      <c r="C23" s="21">
        <v>0.8693467378616333</v>
      </c>
      <c r="D23" s="21">
        <v>0.71105527877807617</v>
      </c>
      <c r="E23" s="21">
        <v>0.29648241400718689</v>
      </c>
      <c r="F23" s="21">
        <v>0.29468598961830139</v>
      </c>
      <c r="G23" s="21">
        <v>0.34299516677856445</v>
      </c>
      <c r="H23" s="21">
        <v>0.37198066711425781</v>
      </c>
      <c r="I23" s="21">
        <v>0.33816424012184143</v>
      </c>
      <c r="J23" s="21">
        <v>0.36714977025985718</v>
      </c>
      <c r="K23" s="21">
        <v>0.35265699028968811</v>
      </c>
      <c r="L23" s="21">
        <v>0.68974357843399048</v>
      </c>
      <c r="M23" s="21">
        <v>0.4244791567325592</v>
      </c>
      <c r="N23" s="2" t="s">
        <v>24</v>
      </c>
      <c r="O23" s="2"/>
      <c r="P23" s="2"/>
      <c r="Q23" s="2"/>
      <c r="R23" s="2"/>
      <c r="S23" s="2"/>
      <c r="T23" s="2"/>
      <c r="U23" s="2"/>
      <c r="V23" s="2"/>
      <c r="W23" s="2"/>
      <c r="X23" s="2"/>
      <c r="Y23" s="2"/>
      <c r="Z23" s="2"/>
    </row>
    <row r="24" spans="1:26" ht="12.75" customHeight="1" x14ac:dyDescent="0.25">
      <c r="A24" s="2" t="s">
        <v>41</v>
      </c>
      <c r="B24" s="26">
        <v>5.1845026016235352</v>
      </c>
      <c r="C24" s="21">
        <v>0.82524269819259644</v>
      </c>
      <c r="D24" s="21">
        <v>0.66019415855407715</v>
      </c>
      <c r="E24" s="21">
        <v>0.32038834691047668</v>
      </c>
      <c r="F24" s="21">
        <v>0.38235294818878174</v>
      </c>
      <c r="G24" s="21">
        <v>0.30882352590560913</v>
      </c>
      <c r="H24" s="21">
        <v>0.30882352590560913</v>
      </c>
      <c r="I24" s="21">
        <v>0.3382352888584137</v>
      </c>
      <c r="J24" s="21">
        <v>0.30882352590560913</v>
      </c>
      <c r="K24" s="21">
        <v>0.3382352888584137</v>
      </c>
      <c r="L24" s="21">
        <v>0.69306927919387817</v>
      </c>
      <c r="M24" s="21">
        <v>0.70833331346511841</v>
      </c>
      <c r="N24" s="2" t="s">
        <v>18</v>
      </c>
      <c r="O24" s="2"/>
      <c r="P24" s="2"/>
      <c r="Q24" s="2"/>
      <c r="R24" s="2"/>
      <c r="S24" s="2"/>
      <c r="T24" s="2"/>
      <c r="U24" s="2"/>
      <c r="V24" s="2"/>
      <c r="W24" s="2"/>
      <c r="X24" s="2"/>
      <c r="Y24" s="2"/>
      <c r="Z24" s="2"/>
    </row>
    <row r="25" spans="1:26" ht="12.75" customHeight="1" x14ac:dyDescent="0.25">
      <c r="A25" s="2" t="s">
        <v>42</v>
      </c>
      <c r="B25" s="26">
        <v>6.1050434112548828</v>
      </c>
      <c r="C25" s="21">
        <v>0.87179487943649292</v>
      </c>
      <c r="D25" s="21">
        <v>0.78632479906082153</v>
      </c>
      <c r="E25" s="21">
        <v>0.2905983030796051</v>
      </c>
      <c r="F25" s="21">
        <v>0.27659574151039124</v>
      </c>
      <c r="G25" s="21">
        <v>0.22340425848960876</v>
      </c>
      <c r="H25" s="21">
        <v>0.15957446396350861</v>
      </c>
      <c r="I25" s="21">
        <v>0.1702127605676651</v>
      </c>
      <c r="J25" s="21">
        <v>0.20212766528129578</v>
      </c>
      <c r="K25" s="21">
        <v>0.21276596188545227</v>
      </c>
      <c r="L25" s="21">
        <v>0.75438594818115234</v>
      </c>
      <c r="M25" s="21">
        <v>0.41592919826507568</v>
      </c>
      <c r="N25" s="2" t="s">
        <v>21</v>
      </c>
      <c r="O25" s="2"/>
      <c r="P25" s="2"/>
      <c r="Q25" s="2"/>
      <c r="R25" s="2"/>
      <c r="S25" s="2"/>
      <c r="T25" s="2"/>
      <c r="U25" s="2"/>
      <c r="V25" s="2"/>
      <c r="W25" s="2"/>
      <c r="X25" s="2"/>
      <c r="Y25" s="2"/>
      <c r="Z25" s="2"/>
    </row>
    <row r="26" spans="1:26" ht="12.75" customHeight="1" x14ac:dyDescent="0.25">
      <c r="A26" s="2" t="s">
        <v>43</v>
      </c>
      <c r="B26" s="26">
        <v>5.3513283729553223</v>
      </c>
      <c r="C26" s="21">
        <v>0.69005846977233887</v>
      </c>
      <c r="D26" s="21">
        <v>0.74269008636474609</v>
      </c>
      <c r="E26" s="21">
        <v>0.29532164335250854</v>
      </c>
      <c r="F26" s="21">
        <v>0.30575540661811829</v>
      </c>
      <c r="G26" s="21">
        <v>0.26258993148803711</v>
      </c>
      <c r="H26" s="21">
        <v>0.25179857015609741</v>
      </c>
      <c r="I26" s="21">
        <v>0.24460431933403015</v>
      </c>
      <c r="J26" s="21">
        <v>0.27338129281997681</v>
      </c>
      <c r="K26" s="21">
        <v>0.27697840332984924</v>
      </c>
      <c r="L26" s="21">
        <v>0.69552236795425415</v>
      </c>
      <c r="M26" s="21">
        <v>0.54347825050354004</v>
      </c>
      <c r="N26" s="2" t="s">
        <v>21</v>
      </c>
      <c r="O26" s="2"/>
      <c r="P26" s="2"/>
      <c r="Q26" s="2"/>
      <c r="R26" s="2"/>
      <c r="S26" s="2"/>
      <c r="T26" s="2"/>
      <c r="U26" s="2"/>
      <c r="V26" s="2"/>
      <c r="W26" s="2"/>
      <c r="X26" s="2"/>
      <c r="Y26" s="2"/>
      <c r="Z26" s="2"/>
    </row>
    <row r="27" spans="1:26" ht="12.75" customHeight="1" x14ac:dyDescent="0.25">
      <c r="A27" s="2" t="s">
        <v>44</v>
      </c>
      <c r="B27" s="26">
        <v>5.3464469909667969</v>
      </c>
      <c r="C27" s="21">
        <v>0.7734375</v>
      </c>
      <c r="D27" s="21">
        <v>0.640625</v>
      </c>
      <c r="E27" s="21">
        <v>0.3984375</v>
      </c>
      <c r="F27" s="21">
        <v>0.44565218687057495</v>
      </c>
      <c r="G27" s="21">
        <v>0.30434781312942505</v>
      </c>
      <c r="H27" s="21">
        <v>0.27173912525177002</v>
      </c>
      <c r="I27" s="21">
        <v>0.27173912525177002</v>
      </c>
      <c r="J27" s="21">
        <v>0.42391303181648254</v>
      </c>
      <c r="K27" s="21">
        <v>0.34782609343528748</v>
      </c>
      <c r="L27" s="21">
        <v>0.5317460298538208</v>
      </c>
      <c r="M27" s="21">
        <v>0.60000002384185791</v>
      </c>
      <c r="N27" s="2" t="s">
        <v>26</v>
      </c>
      <c r="O27" s="2"/>
      <c r="P27" s="2"/>
      <c r="Q27" s="2"/>
      <c r="R27" s="2"/>
      <c r="S27" s="2"/>
      <c r="T27" s="2"/>
      <c r="U27" s="2"/>
      <c r="V27" s="2"/>
      <c r="W27" s="2"/>
      <c r="X27" s="2"/>
      <c r="Y27" s="2"/>
      <c r="Z27" s="2"/>
    </row>
    <row r="28" spans="1:26" ht="12.75" customHeight="1" x14ac:dyDescent="0.25">
      <c r="A28" s="2" t="s">
        <v>45</v>
      </c>
      <c r="B28" s="26">
        <v>5.5819563865661621</v>
      </c>
      <c r="C28" s="21">
        <v>0.83529412746429443</v>
      </c>
      <c r="D28" s="21">
        <v>0.71764707565307617</v>
      </c>
      <c r="E28" s="21">
        <v>0.24705882370471954</v>
      </c>
      <c r="F28" s="21">
        <v>0.35897436738014221</v>
      </c>
      <c r="G28" s="21">
        <v>0.37179487943649292</v>
      </c>
      <c r="H28" s="21">
        <v>0.37179487943649292</v>
      </c>
      <c r="I28" s="21">
        <v>0.30769231915473938</v>
      </c>
      <c r="J28" s="21">
        <v>0.37179487943649292</v>
      </c>
      <c r="K28" s="21">
        <v>0.37179487943649292</v>
      </c>
      <c r="L28" s="21">
        <v>0.59880238771438599</v>
      </c>
      <c r="M28" s="21">
        <v>0.31645569205284119</v>
      </c>
      <c r="N28" s="2" t="s">
        <v>21</v>
      </c>
      <c r="O28" s="2"/>
      <c r="P28" s="2"/>
      <c r="Q28" s="2"/>
      <c r="R28" s="2"/>
      <c r="S28" s="2"/>
      <c r="T28" s="2"/>
      <c r="U28" s="2"/>
      <c r="V28" s="2"/>
      <c r="W28" s="2"/>
      <c r="X28" s="2"/>
      <c r="Y28" s="2"/>
      <c r="Z28" s="2"/>
    </row>
    <row r="29" spans="1:26" ht="12.75" customHeight="1" x14ac:dyDescent="0.25">
      <c r="A29" s="2" t="s">
        <v>46</v>
      </c>
      <c r="B29" s="26">
        <v>6.9201316833496094</v>
      </c>
      <c r="C29" s="21">
        <v>0.83333331346511841</v>
      </c>
      <c r="D29" s="21">
        <v>0.57471263408660889</v>
      </c>
      <c r="E29" s="21">
        <v>0.23563218116760254</v>
      </c>
      <c r="F29" s="21">
        <v>0.25833332538604736</v>
      </c>
      <c r="G29" s="21">
        <v>0.25</v>
      </c>
      <c r="H29" s="21">
        <v>0.2083333283662796</v>
      </c>
      <c r="I29" s="21">
        <v>0.17499999701976776</v>
      </c>
      <c r="J29" s="21">
        <v>0.23333333432674408</v>
      </c>
      <c r="K29" s="21">
        <v>0.22499999403953552</v>
      </c>
      <c r="L29" s="21">
        <v>0.53757226467132568</v>
      </c>
      <c r="M29" s="21">
        <v>0.42771083116531372</v>
      </c>
      <c r="N29" s="2" t="s">
        <v>21</v>
      </c>
      <c r="O29" s="2"/>
      <c r="P29" s="2"/>
      <c r="Q29" s="2"/>
      <c r="R29" s="2"/>
      <c r="S29" s="2"/>
      <c r="T29" s="2"/>
      <c r="U29" s="2"/>
      <c r="V29" s="2"/>
      <c r="W29" s="2"/>
      <c r="X29" s="2"/>
      <c r="Y29" s="2"/>
      <c r="Z29" s="2"/>
    </row>
    <row r="30" spans="1:26" ht="12.75" customHeight="1" x14ac:dyDescent="0.25">
      <c r="A30" s="2" t="s">
        <v>47</v>
      </c>
      <c r="B30" s="26">
        <v>6.0122661590576172</v>
      </c>
      <c r="C30" s="21">
        <v>0.81999999284744263</v>
      </c>
      <c r="D30" s="21">
        <v>0.69999998807907104</v>
      </c>
      <c r="E30" s="21">
        <v>0.2800000011920929</v>
      </c>
      <c r="F30" s="21">
        <v>0.27777779102325439</v>
      </c>
      <c r="G30" s="21">
        <v>0.1944444477558136</v>
      </c>
      <c r="H30" s="21">
        <v>0.1944444477558136</v>
      </c>
      <c r="I30" s="21">
        <v>0.1527777761220932</v>
      </c>
      <c r="J30" s="21">
        <v>0.1805555522441864</v>
      </c>
      <c r="K30" s="21">
        <v>0.1944444477558136</v>
      </c>
      <c r="L30" s="21">
        <v>0.77319586277008057</v>
      </c>
      <c r="M30" s="21">
        <v>0.64210528135299683</v>
      </c>
      <c r="N30" s="2" t="s">
        <v>15</v>
      </c>
      <c r="O30" s="2"/>
      <c r="P30" s="2"/>
      <c r="Q30" s="2"/>
      <c r="R30" s="2"/>
      <c r="S30" s="2"/>
      <c r="T30" s="2"/>
      <c r="U30" s="2"/>
      <c r="V30" s="2"/>
      <c r="W30" s="2"/>
      <c r="X30" s="2"/>
      <c r="Y30" s="2"/>
      <c r="Z30" s="2"/>
    </row>
    <row r="31" spans="1:26" ht="12.75" customHeight="1" x14ac:dyDescent="0.25">
      <c r="A31" s="2" t="s">
        <v>48</v>
      </c>
      <c r="B31" s="26">
        <v>5.7353296279907227</v>
      </c>
      <c r="C31" s="21">
        <v>0.81904762983322144</v>
      </c>
      <c r="D31" s="21">
        <v>0.57142859697341919</v>
      </c>
      <c r="E31" s="21">
        <v>0.36190477013587952</v>
      </c>
      <c r="F31" s="21">
        <v>0.39393940567970276</v>
      </c>
      <c r="G31" s="21">
        <v>0.3333333432674408</v>
      </c>
      <c r="H31" s="21">
        <v>0.36363637447357178</v>
      </c>
      <c r="I31" s="21">
        <v>0.22727273404598236</v>
      </c>
      <c r="J31" s="21">
        <v>0.39393940567970276</v>
      </c>
      <c r="K31" s="21">
        <v>0.31818181276321411</v>
      </c>
      <c r="L31" s="21">
        <v>0.60194176435470581</v>
      </c>
      <c r="M31" s="21">
        <v>0.52525252103805542</v>
      </c>
      <c r="N31" s="2" t="s">
        <v>18</v>
      </c>
      <c r="O31" s="2"/>
      <c r="P31" s="2"/>
      <c r="Q31" s="2"/>
      <c r="R31" s="2"/>
      <c r="S31" s="2"/>
      <c r="T31" s="2"/>
      <c r="U31" s="2"/>
      <c r="V31" s="2"/>
      <c r="W31" s="2"/>
      <c r="X31" s="2"/>
      <c r="Y31" s="2"/>
      <c r="Z31" s="2"/>
    </row>
    <row r="32" spans="1:26" ht="12.75" customHeight="1" x14ac:dyDescent="0.25">
      <c r="A32" s="2" t="s">
        <v>49</v>
      </c>
      <c r="B32" s="26">
        <v>6.235102653503418</v>
      </c>
      <c r="C32" s="21">
        <v>0.87943261861801147</v>
      </c>
      <c r="D32" s="21">
        <v>0.56737589836120605</v>
      </c>
      <c r="E32" s="21">
        <v>0.31205675005912781</v>
      </c>
      <c r="F32" s="21">
        <v>0.34666666388511658</v>
      </c>
      <c r="G32" s="21">
        <v>0.30666667222976685</v>
      </c>
      <c r="H32" s="21">
        <v>0.2800000011920929</v>
      </c>
      <c r="I32" s="21">
        <v>0.30666667222976685</v>
      </c>
      <c r="J32" s="21">
        <v>0.37333333492279053</v>
      </c>
      <c r="K32" s="21">
        <v>0.30666667222976685</v>
      </c>
      <c r="L32" s="21">
        <v>0.54285717010498047</v>
      </c>
      <c r="M32" s="21">
        <v>0.44117647409439087</v>
      </c>
      <c r="N32" s="2" t="s">
        <v>21</v>
      </c>
      <c r="O32" s="2"/>
      <c r="P32" s="2"/>
      <c r="Q32" s="2"/>
      <c r="R32" s="2"/>
      <c r="S32" s="2"/>
      <c r="T32" s="2"/>
      <c r="U32" s="2"/>
      <c r="V32" s="2"/>
      <c r="W32" s="2"/>
      <c r="X32" s="2"/>
      <c r="Y32" s="2"/>
      <c r="Z32" s="2"/>
    </row>
    <row r="33" spans="1:26" ht="12.75" customHeight="1" x14ac:dyDescent="0.25">
      <c r="A33" s="2" t="s">
        <v>50</v>
      </c>
      <c r="B33" s="26">
        <v>5.0630006790161133</v>
      </c>
      <c r="C33" s="21">
        <v>0.91538459062576294</v>
      </c>
      <c r="D33" s="21">
        <v>0.71538460254669189</v>
      </c>
      <c r="E33" s="21">
        <v>0.36923077702522278</v>
      </c>
      <c r="F33" s="21">
        <v>0.40000000596046448</v>
      </c>
      <c r="G33" s="21">
        <v>0.30526316165924072</v>
      </c>
      <c r="H33" s="21">
        <v>0.30526316165924072</v>
      </c>
      <c r="I33" s="21">
        <v>0.31578946113586426</v>
      </c>
      <c r="J33" s="21">
        <v>0.34736841917037964</v>
      </c>
      <c r="K33" s="21">
        <v>0.37894737720489502</v>
      </c>
      <c r="L33" s="21">
        <v>0.64566928148269653</v>
      </c>
      <c r="M33" s="21">
        <v>0.73553717136383057</v>
      </c>
      <c r="N33" s="2" t="s">
        <v>26</v>
      </c>
      <c r="O33" s="2"/>
      <c r="P33" s="2"/>
      <c r="Q33" s="2"/>
      <c r="R33" s="2"/>
      <c r="S33" s="2"/>
      <c r="T33" s="2"/>
      <c r="U33" s="2"/>
      <c r="V33" s="2"/>
      <c r="W33" s="2"/>
      <c r="X33" s="2"/>
      <c r="Y33" s="2"/>
      <c r="Z33" s="2"/>
    </row>
    <row r="34" spans="1:26" ht="12.75" customHeight="1" x14ac:dyDescent="0.25">
      <c r="A34" s="2" t="s">
        <v>51</v>
      </c>
      <c r="B34" s="26">
        <v>5.2930698394775391</v>
      </c>
      <c r="C34" s="21">
        <v>0.73333334922790527</v>
      </c>
      <c r="D34" s="21">
        <v>0.69999998807907104</v>
      </c>
      <c r="E34" s="21">
        <v>0.34999999403953552</v>
      </c>
      <c r="F34" s="21">
        <v>0.28915661573410034</v>
      </c>
      <c r="G34" s="21">
        <v>0.26506024599075317</v>
      </c>
      <c r="H34" s="21">
        <v>0.38554215431213379</v>
      </c>
      <c r="I34" s="21">
        <v>0.30120483040809631</v>
      </c>
      <c r="J34" s="21">
        <v>0.32530120015144348</v>
      </c>
      <c r="K34" s="21">
        <v>0.22891566157341003</v>
      </c>
      <c r="L34" s="21">
        <v>0.64166665077209473</v>
      </c>
      <c r="M34" s="21">
        <v>0.56666666269302368</v>
      </c>
      <c r="N34" s="2" t="s">
        <v>15</v>
      </c>
      <c r="O34" s="2"/>
      <c r="P34" s="2"/>
      <c r="Q34" s="2"/>
      <c r="R34" s="2"/>
      <c r="S34" s="2"/>
      <c r="T34" s="2"/>
      <c r="U34" s="2"/>
      <c r="V34" s="2"/>
      <c r="W34" s="2"/>
      <c r="X34" s="2"/>
      <c r="Y34" s="2"/>
      <c r="Z34" s="2"/>
    </row>
    <row r="35" spans="1:26" ht="12.75" customHeight="1" x14ac:dyDescent="0.25">
      <c r="A35" s="2" t="s">
        <v>52</v>
      </c>
      <c r="B35" s="26">
        <v>5.8235740661621094</v>
      </c>
      <c r="C35" s="21">
        <v>0.74257427453994751</v>
      </c>
      <c r="D35" s="21">
        <v>0.68316829204559326</v>
      </c>
      <c r="E35" s="21">
        <v>0.30693069100379944</v>
      </c>
      <c r="F35" s="21">
        <v>0.30666667222976685</v>
      </c>
      <c r="G35" s="21">
        <v>0.25333333015441895</v>
      </c>
      <c r="H35" s="21">
        <v>0.26666668057441711</v>
      </c>
      <c r="I35" s="21">
        <v>0.20000000298023224</v>
      </c>
      <c r="J35" s="21">
        <v>0.30666667222976685</v>
      </c>
      <c r="K35" s="21">
        <v>0.26666668057441711</v>
      </c>
      <c r="L35" s="21">
        <v>0.52999997138977051</v>
      </c>
      <c r="M35" s="21">
        <v>0.57142859697341919</v>
      </c>
      <c r="N35" s="2" t="s">
        <v>35</v>
      </c>
      <c r="O35" s="2"/>
      <c r="P35" s="2"/>
      <c r="Q35" s="2"/>
      <c r="R35" s="2"/>
      <c r="S35" s="2"/>
      <c r="T35" s="2"/>
      <c r="U35" s="2"/>
      <c r="V35" s="2"/>
      <c r="W35" s="2"/>
      <c r="X35" s="2"/>
      <c r="Y35" s="2"/>
      <c r="Z35" s="2"/>
    </row>
    <row r="36" spans="1:26" ht="12.75" customHeight="1" x14ac:dyDescent="0.25">
      <c r="A36" s="2" t="s">
        <v>53</v>
      </c>
      <c r="B36" s="26">
        <v>5.9718356132507324</v>
      </c>
      <c r="C36" s="21">
        <v>0.8396226167678833</v>
      </c>
      <c r="D36" s="21">
        <v>0.53773581981658936</v>
      </c>
      <c r="E36" s="21">
        <v>0.39622640609741211</v>
      </c>
      <c r="F36" s="21">
        <v>0.4285714328289032</v>
      </c>
      <c r="G36" s="21">
        <v>0.36363637447357178</v>
      </c>
      <c r="H36" s="21">
        <v>0.29870128631591797</v>
      </c>
      <c r="I36" s="21">
        <v>0.27272728085517883</v>
      </c>
      <c r="J36" s="21">
        <v>0.35064935684204102</v>
      </c>
      <c r="K36" s="21">
        <v>0.32467532157897949</v>
      </c>
      <c r="L36" s="21">
        <v>0.48113209009170532</v>
      </c>
      <c r="M36" s="21">
        <v>0.55339807271957397</v>
      </c>
      <c r="N36" s="2" t="s">
        <v>18</v>
      </c>
      <c r="O36" s="2"/>
      <c r="P36" s="2"/>
      <c r="Q36" s="2"/>
      <c r="R36" s="2"/>
      <c r="S36" s="2"/>
      <c r="T36" s="2"/>
      <c r="U36" s="2"/>
      <c r="V36" s="2"/>
      <c r="W36" s="2"/>
      <c r="X36" s="2"/>
      <c r="Y36" s="2"/>
      <c r="Z36" s="2"/>
    </row>
    <row r="37" spans="1:26" ht="12.75" customHeight="1" x14ac:dyDescent="0.25">
      <c r="A37" s="2" t="s">
        <v>56</v>
      </c>
      <c r="B37" s="26">
        <v>5.969724178314209</v>
      </c>
      <c r="C37" s="21">
        <v>0.79452055692672729</v>
      </c>
      <c r="D37" s="21">
        <v>0.59589040279388428</v>
      </c>
      <c r="E37" s="21">
        <v>0.26712328195571899</v>
      </c>
      <c r="F37" s="21">
        <v>0.35632184147834778</v>
      </c>
      <c r="G37" s="21">
        <v>0.3218390941619873</v>
      </c>
      <c r="H37" s="21">
        <v>0.3333333432674408</v>
      </c>
      <c r="I37" s="21">
        <v>0.27586206793785095</v>
      </c>
      <c r="J37" s="21">
        <v>0.36781609058380127</v>
      </c>
      <c r="K37" s="21">
        <v>0.28735631704330444</v>
      </c>
      <c r="L37" s="21">
        <v>0.59310346841812134</v>
      </c>
      <c r="M37" s="21">
        <v>0.4285714328289032</v>
      </c>
      <c r="N37" s="2" t="s">
        <v>35</v>
      </c>
      <c r="O37" s="2"/>
      <c r="P37" s="2"/>
      <c r="Q37" s="2"/>
      <c r="R37" s="2"/>
      <c r="S37" s="2"/>
      <c r="T37" s="2"/>
      <c r="U37" s="2"/>
      <c r="V37" s="2"/>
      <c r="W37" s="2"/>
      <c r="X37" s="2"/>
      <c r="Y37" s="2"/>
      <c r="Z37" s="2"/>
    </row>
    <row r="38" spans="1:26" ht="12.75" customHeight="1" x14ac:dyDescent="0.25">
      <c r="A38" s="2" t="s">
        <v>54</v>
      </c>
      <c r="B38" s="26">
        <v>6.4260392189025879</v>
      </c>
      <c r="C38" s="21">
        <v>0.73684209585189819</v>
      </c>
      <c r="D38" s="21">
        <v>0.45864662528038025</v>
      </c>
      <c r="E38" s="21">
        <v>0.35338345170021057</v>
      </c>
      <c r="F38" s="21">
        <v>0.37254902720451355</v>
      </c>
      <c r="G38" s="21">
        <v>0.3333333432674408</v>
      </c>
      <c r="H38" s="21">
        <v>0.31372550129890442</v>
      </c>
      <c r="I38" s="21">
        <v>0.23529411852359772</v>
      </c>
      <c r="J38" s="21">
        <v>0.3333333432674408</v>
      </c>
      <c r="K38" s="21">
        <v>0.31372550129890442</v>
      </c>
      <c r="L38" s="21">
        <v>0.3769230842590332</v>
      </c>
      <c r="M38" s="21">
        <v>0.5158730149269104</v>
      </c>
      <c r="N38" s="2" t="s">
        <v>18</v>
      </c>
      <c r="O38" s="2"/>
      <c r="P38" s="2"/>
      <c r="Q38" s="2"/>
      <c r="R38" s="2"/>
      <c r="S38" s="2"/>
      <c r="T38" s="2"/>
      <c r="U38" s="2"/>
      <c r="V38" s="2"/>
      <c r="W38" s="2"/>
      <c r="X38" s="2"/>
      <c r="Y38" s="2"/>
      <c r="Z38" s="2"/>
    </row>
    <row r="39" spans="1:26" ht="12.75" customHeight="1" x14ac:dyDescent="0.25">
      <c r="A39" s="2" t="s">
        <v>55</v>
      </c>
      <c r="B39" s="26">
        <v>5.728917121887207</v>
      </c>
      <c r="C39" s="21">
        <v>0.82857143878936768</v>
      </c>
      <c r="D39" s="21">
        <v>0.65714287757873535</v>
      </c>
      <c r="E39" s="21">
        <v>0.44761905074119568</v>
      </c>
      <c r="F39" s="21">
        <v>0.36363637447357178</v>
      </c>
      <c r="G39" s="21">
        <v>0.28409090638160706</v>
      </c>
      <c r="H39" s="21">
        <v>0.27272728085517883</v>
      </c>
      <c r="I39" s="21">
        <v>0.22727273404598236</v>
      </c>
      <c r="J39" s="21">
        <v>0.18181818723678589</v>
      </c>
      <c r="K39" s="21">
        <v>0.19318181276321411</v>
      </c>
      <c r="L39" s="21">
        <v>0.63106793165206909</v>
      </c>
      <c r="M39" s="21">
        <v>0.67676764726638794</v>
      </c>
      <c r="N39" s="2" t="s">
        <v>18</v>
      </c>
      <c r="O39" s="2"/>
      <c r="P39" s="2"/>
      <c r="Q39" s="2"/>
      <c r="R39" s="2"/>
      <c r="S39" s="2"/>
      <c r="T39" s="2"/>
      <c r="U39" s="2"/>
      <c r="V39" s="2"/>
      <c r="W39" s="2"/>
      <c r="X39" s="2"/>
      <c r="Y39" s="2"/>
      <c r="Z39" s="2"/>
    </row>
    <row r="40" spans="1:26" ht="12.75" customHeight="1" x14ac:dyDescent="0.25">
      <c r="A40" s="2" t="s">
        <v>57</v>
      </c>
      <c r="B40" s="26">
        <v>7.3678750991821289</v>
      </c>
      <c r="C40" s="21">
        <v>0.91338580846786499</v>
      </c>
      <c r="D40" s="21">
        <v>0.5118110179901123</v>
      </c>
      <c r="E40" s="21">
        <v>0.24409449100494385</v>
      </c>
      <c r="F40" s="21">
        <v>0.3125</v>
      </c>
      <c r="G40" s="21">
        <v>0.21250000596046448</v>
      </c>
      <c r="H40" s="21">
        <v>0.13750000298023224</v>
      </c>
      <c r="I40" s="21">
        <v>0.16249999403953552</v>
      </c>
      <c r="J40" s="21">
        <v>0.1875</v>
      </c>
      <c r="K40" s="21">
        <v>0.26249998807907104</v>
      </c>
      <c r="L40" s="21">
        <v>0.48780488967895508</v>
      </c>
      <c r="M40" s="21">
        <v>0.48760330677032471</v>
      </c>
      <c r="N40" s="2" t="s">
        <v>15</v>
      </c>
      <c r="O40" s="2"/>
      <c r="P40" s="2"/>
      <c r="Q40" s="2"/>
      <c r="R40" s="2"/>
      <c r="S40" s="2"/>
      <c r="T40" s="2"/>
      <c r="U40" s="2"/>
      <c r="V40" s="2"/>
      <c r="W40" s="2"/>
      <c r="X40" s="2"/>
      <c r="Y40" s="2"/>
      <c r="Z40" s="2"/>
    </row>
    <row r="41" spans="1:26" ht="12.75" customHeight="1" x14ac:dyDescent="0.25">
      <c r="A41" s="2" t="s">
        <v>58</v>
      </c>
      <c r="B41" s="26">
        <v>6.547119140625</v>
      </c>
      <c r="C41" s="21">
        <v>0.86301368474960327</v>
      </c>
      <c r="D41" s="21">
        <v>0.63698631525039673</v>
      </c>
      <c r="E41" s="21">
        <v>0.26027396321296692</v>
      </c>
      <c r="F41" s="21">
        <v>0.31818181276321411</v>
      </c>
      <c r="G41" s="21">
        <v>0.26136362552642822</v>
      </c>
      <c r="H41" s="21">
        <v>0.21590909361839294</v>
      </c>
      <c r="I41" s="21">
        <v>0.25</v>
      </c>
      <c r="J41" s="21">
        <v>0.27272728085517883</v>
      </c>
      <c r="K41" s="21">
        <v>0.23863635957241058</v>
      </c>
      <c r="L41" s="21">
        <v>0.56849312782287598</v>
      </c>
      <c r="M41" s="21">
        <v>0.3732394278049469</v>
      </c>
      <c r="N41" s="2" t="s">
        <v>21</v>
      </c>
      <c r="O41" s="2"/>
      <c r="P41" s="2"/>
      <c r="Q41" s="2"/>
      <c r="R41" s="2"/>
      <c r="S41" s="2"/>
      <c r="T41" s="2"/>
      <c r="U41" s="2"/>
      <c r="V41" s="2"/>
      <c r="W41" s="2"/>
      <c r="X41" s="2"/>
      <c r="Y41" s="2"/>
      <c r="Z41" s="2"/>
    </row>
    <row r="42" spans="1:26" ht="12.75" customHeight="1" x14ac:dyDescent="0.25">
      <c r="A42" s="2" t="s">
        <v>59</v>
      </c>
      <c r="B42" s="26">
        <v>5.1021280288696289</v>
      </c>
      <c r="C42" s="21">
        <v>0.52980130910873413</v>
      </c>
      <c r="D42" s="21">
        <v>0.78145694732666016</v>
      </c>
      <c r="E42" s="21">
        <v>0.27152317762374878</v>
      </c>
      <c r="F42" s="21">
        <v>0.29230770468711853</v>
      </c>
      <c r="G42" s="21">
        <v>0.23846153914928436</v>
      </c>
      <c r="H42" s="21">
        <v>0.23846153914928436</v>
      </c>
      <c r="I42" s="21">
        <v>0.20769231021404266</v>
      </c>
      <c r="J42" s="21">
        <v>0.20769231021404266</v>
      </c>
      <c r="K42" s="21">
        <v>0.22307692468166351</v>
      </c>
      <c r="L42" s="21">
        <v>0.76551723480224609</v>
      </c>
      <c r="M42" s="21">
        <v>0.55244755744934082</v>
      </c>
      <c r="N42" s="2" t="s">
        <v>26</v>
      </c>
      <c r="O42" s="2"/>
      <c r="P42" s="2"/>
      <c r="Q42" s="2"/>
      <c r="R42" s="2"/>
      <c r="S42" s="2"/>
      <c r="T42" s="2"/>
      <c r="U42" s="2"/>
      <c r="V42" s="2"/>
      <c r="W42" s="2"/>
      <c r="X42" s="2"/>
      <c r="Y42" s="2"/>
      <c r="Z42" s="2"/>
    </row>
    <row r="43" spans="1:26" ht="12.75" customHeight="1" x14ac:dyDescent="0.25">
      <c r="A43" s="2" t="s">
        <v>60</v>
      </c>
      <c r="B43" s="26">
        <v>6.2396187782287598</v>
      </c>
      <c r="C43" s="21">
        <v>0.84732824563980103</v>
      </c>
      <c r="D43" s="21">
        <v>0.63358777761459351</v>
      </c>
      <c r="E43" s="21">
        <v>0.27480915188789368</v>
      </c>
      <c r="F43" s="21">
        <v>0.32051283121109009</v>
      </c>
      <c r="G43" s="21">
        <v>0.25641027092933655</v>
      </c>
      <c r="H43" s="21">
        <v>0.21794871985912323</v>
      </c>
      <c r="I43" s="21">
        <v>0.28205129504203796</v>
      </c>
      <c r="J43" s="21">
        <v>0.28205129504203796</v>
      </c>
      <c r="K43" s="21">
        <v>0.26923078298568726</v>
      </c>
      <c r="L43" s="21">
        <v>0.60000002384185791</v>
      </c>
      <c r="M43" s="21">
        <v>0.47244095802307129</v>
      </c>
      <c r="N43" s="2" t="s">
        <v>21</v>
      </c>
      <c r="O43" s="2"/>
      <c r="P43" s="2"/>
      <c r="Q43" s="2"/>
      <c r="R43" s="2"/>
      <c r="S43" s="2"/>
      <c r="T43" s="2"/>
      <c r="U43" s="2"/>
      <c r="V43" s="2"/>
      <c r="W43" s="2"/>
      <c r="X43" s="2"/>
      <c r="Y43" s="2"/>
      <c r="Z43" s="2"/>
    </row>
    <row r="44" spans="1:26" ht="12.75" customHeight="1" x14ac:dyDescent="0.25">
      <c r="A44" s="2" t="s">
        <v>61</v>
      </c>
      <c r="B44" s="26">
        <v>7.0795717239379883</v>
      </c>
      <c r="C44" s="21">
        <v>0.90265488624572754</v>
      </c>
      <c r="D44" s="21">
        <v>0.64601767063140869</v>
      </c>
      <c r="E44" s="21">
        <v>0.2300885021686554</v>
      </c>
      <c r="F44" s="21">
        <v>7.594936341047287E-2</v>
      </c>
      <c r="G44" s="21">
        <v>0.29113924503326416</v>
      </c>
      <c r="H44" s="21">
        <v>0.27848100662231445</v>
      </c>
      <c r="I44" s="21">
        <v>1.2658228166401386E-2</v>
      </c>
      <c r="J44" s="21">
        <v>0.27848100662231445</v>
      </c>
      <c r="K44" s="21">
        <v>6.3291139900684357E-2</v>
      </c>
      <c r="L44" s="21">
        <v>0.61061948537826538</v>
      </c>
      <c r="M44" s="21">
        <v>0.41592919826507568</v>
      </c>
      <c r="N44" s="2" t="s">
        <v>26</v>
      </c>
      <c r="O44" s="2"/>
      <c r="P44" s="2"/>
      <c r="Q44" s="2"/>
      <c r="R44" s="2"/>
      <c r="S44" s="2"/>
      <c r="T44" s="2"/>
      <c r="U44" s="2"/>
      <c r="V44" s="2"/>
      <c r="W44" s="2"/>
      <c r="X44" s="2"/>
      <c r="Y44" s="2"/>
      <c r="Z44" s="2"/>
    </row>
    <row r="45" spans="1:26" ht="12.75" customHeight="1" x14ac:dyDescent="0.25">
      <c r="A45" s="2" t="s">
        <v>62</v>
      </c>
      <c r="B45" s="26">
        <v>7.0235185623168945</v>
      </c>
      <c r="C45" s="21">
        <v>0.8309859037399292</v>
      </c>
      <c r="D45" s="21">
        <v>0.49295774102210999</v>
      </c>
      <c r="E45" s="21">
        <v>0.26056337356567383</v>
      </c>
      <c r="F45" s="21">
        <v>0.26923078298568726</v>
      </c>
      <c r="G45" s="21">
        <v>0.24358974397182465</v>
      </c>
      <c r="H45" s="21">
        <v>0.25641027092933655</v>
      </c>
      <c r="I45" s="21">
        <v>0.26923078298568726</v>
      </c>
      <c r="J45" s="21">
        <v>0.26923078298568726</v>
      </c>
      <c r="K45" s="21">
        <v>0.25641027092933655</v>
      </c>
      <c r="L45" s="21">
        <v>0.45390069484710693</v>
      </c>
      <c r="M45" s="21">
        <v>0.40740740299224854</v>
      </c>
      <c r="N45" s="2" t="s">
        <v>18</v>
      </c>
      <c r="O45" s="2"/>
      <c r="P45" s="2"/>
      <c r="Q45" s="2"/>
      <c r="R45" s="2"/>
      <c r="S45" s="2"/>
      <c r="T45" s="2"/>
      <c r="U45" s="2"/>
      <c r="V45" s="2"/>
      <c r="W45" s="2"/>
      <c r="X45" s="2"/>
      <c r="Y45" s="2"/>
      <c r="Z45" s="2"/>
    </row>
    <row r="46" spans="1:26" ht="12.75" customHeight="1" x14ac:dyDescent="0.25">
      <c r="A46" s="2" t="s">
        <v>63</v>
      </c>
      <c r="B46" s="26">
        <v>5.8972325325012207</v>
      </c>
      <c r="C46" s="21">
        <v>0.92523366212844849</v>
      </c>
      <c r="D46" s="21">
        <v>0.65420562028884888</v>
      </c>
      <c r="E46" s="21">
        <v>0.38317757844924927</v>
      </c>
      <c r="F46" s="21">
        <v>0.28571429848670959</v>
      </c>
      <c r="G46" s="21">
        <v>0.32467532157897949</v>
      </c>
      <c r="H46" s="21">
        <v>0.18181818723678589</v>
      </c>
      <c r="I46" s="21">
        <v>0.19480518996715546</v>
      </c>
      <c r="J46" s="21">
        <v>0.27272728085517883</v>
      </c>
      <c r="K46" s="21">
        <v>0.29870128631591797</v>
      </c>
      <c r="L46" s="21">
        <v>0.67619049549102783</v>
      </c>
      <c r="M46" s="21">
        <v>0.65714287757873535</v>
      </c>
      <c r="N46" s="2" t="s">
        <v>26</v>
      </c>
      <c r="O46" s="2"/>
      <c r="P46" s="2"/>
      <c r="Q46" s="2"/>
      <c r="R46" s="2"/>
      <c r="S46" s="2"/>
      <c r="T46" s="2"/>
      <c r="U46" s="2"/>
      <c r="V46" s="2"/>
      <c r="W46" s="2"/>
      <c r="X46" s="2"/>
      <c r="Y46" s="2"/>
      <c r="Z46" s="2"/>
    </row>
    <row r="47" spans="1:26" ht="12.75" customHeight="1" x14ac:dyDescent="0.25">
      <c r="A47" s="2" t="s">
        <v>64</v>
      </c>
      <c r="B47" s="26">
        <v>5.8438096046447754</v>
      </c>
      <c r="C47" s="21">
        <v>0.52678573131561279</v>
      </c>
      <c r="D47" s="21">
        <v>0.7678571343421936</v>
      </c>
      <c r="E47" s="21">
        <v>0.2142857164144516</v>
      </c>
      <c r="F47" s="21">
        <v>0.26744186878204346</v>
      </c>
      <c r="G47" s="21">
        <v>0.18604651093482971</v>
      </c>
      <c r="H47" s="21">
        <v>0.1627907007932663</v>
      </c>
      <c r="I47" s="21">
        <v>0.17441859841346741</v>
      </c>
      <c r="J47" s="21">
        <v>0.18604651093482971</v>
      </c>
      <c r="K47" s="21">
        <v>0.13953489065170288</v>
      </c>
      <c r="L47" s="21">
        <v>0.67567569017410278</v>
      </c>
      <c r="M47" s="21">
        <v>0.43396225571632385</v>
      </c>
      <c r="N47" s="2" t="s">
        <v>26</v>
      </c>
      <c r="O47" s="2"/>
      <c r="P47" s="2"/>
      <c r="Q47" s="2"/>
      <c r="R47" s="2"/>
      <c r="S47" s="2"/>
      <c r="T47" s="2"/>
      <c r="U47" s="2"/>
      <c r="V47" s="2"/>
      <c r="W47" s="2"/>
      <c r="X47" s="2"/>
      <c r="Y47" s="2"/>
      <c r="Z47" s="2"/>
    </row>
    <row r="48" spans="1:26" ht="12.75" customHeight="1" x14ac:dyDescent="0.25">
      <c r="A48" s="2" t="s">
        <v>65</v>
      </c>
      <c r="B48" s="26">
        <v>6.7145805358886719</v>
      </c>
      <c r="C48" s="21">
        <v>0.82312923669815063</v>
      </c>
      <c r="D48" s="21">
        <v>0.57142859697341919</v>
      </c>
      <c r="E48" s="21">
        <v>0.20408163964748383</v>
      </c>
      <c r="F48" s="21">
        <v>0.30120483040809631</v>
      </c>
      <c r="G48" s="21">
        <v>0.22891566157341003</v>
      </c>
      <c r="H48" s="21">
        <v>0.25301206111907959</v>
      </c>
      <c r="I48" s="21">
        <v>0.24096386134624481</v>
      </c>
      <c r="J48" s="21">
        <v>0.26506024599075317</v>
      </c>
      <c r="K48" s="21">
        <v>0.25301206111907959</v>
      </c>
      <c r="L48" s="21">
        <v>0.53061223030090332</v>
      </c>
      <c r="M48" s="21">
        <v>0.4444444477558136</v>
      </c>
      <c r="N48" s="2" t="s">
        <v>26</v>
      </c>
      <c r="O48" s="2"/>
      <c r="P48" s="2"/>
      <c r="Q48" s="2"/>
      <c r="R48" s="2"/>
      <c r="S48" s="2"/>
      <c r="T48" s="2"/>
      <c r="U48" s="2"/>
      <c r="V48" s="2"/>
      <c r="W48" s="2"/>
      <c r="X48" s="2"/>
      <c r="Y48" s="2"/>
      <c r="Z48" s="2"/>
    </row>
    <row r="49" spans="1:26" ht="12.75" customHeight="1" x14ac:dyDescent="0.25">
      <c r="A49" s="2" t="s">
        <v>66</v>
      </c>
      <c r="B49" s="26">
        <v>5.4761486053466797</v>
      </c>
      <c r="C49" s="21">
        <v>0.71074378490447998</v>
      </c>
      <c r="D49" s="21">
        <v>0.68595039844512939</v>
      </c>
      <c r="E49" s="21">
        <v>0.23140496015548706</v>
      </c>
      <c r="F49" s="21">
        <v>0.31884059309959412</v>
      </c>
      <c r="G49" s="21">
        <v>0.3333333432674408</v>
      </c>
      <c r="H49" s="21">
        <v>0.28985506296157837</v>
      </c>
      <c r="I49" s="21">
        <v>0.31884059309959412</v>
      </c>
      <c r="J49" s="21">
        <v>0.34782609343528748</v>
      </c>
      <c r="K49" s="21">
        <v>0.31884059309959412</v>
      </c>
      <c r="L49" s="21">
        <v>0.64999997615814209</v>
      </c>
      <c r="M49" s="21">
        <v>0.4444444477558136</v>
      </c>
      <c r="N49" s="2" t="s">
        <v>26</v>
      </c>
      <c r="O49" s="2"/>
      <c r="P49" s="2"/>
      <c r="Q49" s="2"/>
      <c r="R49" s="2"/>
      <c r="S49" s="2"/>
      <c r="T49" s="2"/>
      <c r="U49" s="2"/>
      <c r="V49" s="2"/>
      <c r="W49" s="2"/>
      <c r="X49" s="2"/>
      <c r="Y49" s="2"/>
      <c r="Z49" s="2"/>
    </row>
    <row r="50" spans="1:26" ht="12.75" customHeight="1" x14ac:dyDescent="0.25">
      <c r="A50" s="2" t="s">
        <v>67</v>
      </c>
      <c r="B50" s="26">
        <v>6.7575492858886719</v>
      </c>
      <c r="C50" s="21">
        <v>0.89142858982086182</v>
      </c>
      <c r="D50" s="21">
        <v>0.50857144594192505</v>
      </c>
      <c r="E50" s="21">
        <v>0.24571429193019867</v>
      </c>
      <c r="F50" s="21">
        <v>0.35294118523597717</v>
      </c>
      <c r="G50" s="21">
        <v>0.34313726425170898</v>
      </c>
      <c r="H50" s="21">
        <v>0.27450981736183167</v>
      </c>
      <c r="I50" s="21">
        <v>0.29411765933036804</v>
      </c>
      <c r="J50" s="21">
        <v>0.31372550129890442</v>
      </c>
      <c r="K50" s="21">
        <v>0.27450981736183167</v>
      </c>
      <c r="L50" s="21">
        <v>0.45614033937454224</v>
      </c>
      <c r="M50" s="21">
        <v>0.4285714328289032</v>
      </c>
      <c r="N50" s="2" t="s">
        <v>21</v>
      </c>
      <c r="O50" s="2"/>
      <c r="P50" s="2"/>
      <c r="Q50" s="2"/>
      <c r="R50" s="2"/>
      <c r="S50" s="2"/>
      <c r="T50" s="2"/>
      <c r="U50" s="2"/>
      <c r="V50" s="2"/>
      <c r="W50" s="2"/>
      <c r="X50" s="2"/>
      <c r="Y50" s="2"/>
      <c r="Z50" s="2"/>
    </row>
    <row r="51" spans="1:26" ht="12.75" customHeight="1" x14ac:dyDescent="0.25">
      <c r="A51" s="2" t="s">
        <v>68</v>
      </c>
      <c r="B51" s="26">
        <v>6.3142185211181641</v>
      </c>
      <c r="C51" s="21">
        <v>0.67289721965789795</v>
      </c>
      <c r="D51" s="21">
        <v>0.76635515689849854</v>
      </c>
      <c r="E51" s="21">
        <v>0.20560747385025024</v>
      </c>
      <c r="F51" s="21">
        <v>0.22093023359775543</v>
      </c>
      <c r="G51" s="21">
        <v>0.12790697813034058</v>
      </c>
      <c r="H51" s="21">
        <v>0.13953489065170288</v>
      </c>
      <c r="I51" s="21">
        <v>0.12790697813034058</v>
      </c>
      <c r="J51" s="21">
        <v>0.15116278827190399</v>
      </c>
      <c r="K51" s="21">
        <v>0.19767442345619202</v>
      </c>
      <c r="L51" s="21">
        <v>0.72380954027175903</v>
      </c>
      <c r="M51" s="21">
        <v>0.38235294818878174</v>
      </c>
      <c r="N51" s="2" t="s">
        <v>26</v>
      </c>
      <c r="O51" s="2"/>
      <c r="P51" s="2"/>
      <c r="Q51" s="2"/>
      <c r="R51" s="2"/>
      <c r="S51" s="2"/>
      <c r="T51" s="2"/>
      <c r="U51" s="2"/>
      <c r="V51" s="2"/>
      <c r="W51" s="2"/>
      <c r="X51" s="2"/>
      <c r="Y51" s="2"/>
      <c r="Z51" s="2"/>
    </row>
    <row r="52" spans="1:26" ht="12.75" customHeight="1" x14ac:dyDescent="0.25">
      <c r="A52" s="2" t="s">
        <v>69</v>
      </c>
      <c r="B52" s="26">
        <v>5.5971922874450684</v>
      </c>
      <c r="C52" s="21">
        <v>0.90566039085388184</v>
      </c>
      <c r="D52" s="21">
        <v>0.68867921829223633</v>
      </c>
      <c r="E52" s="21">
        <v>0.38679245114326477</v>
      </c>
      <c r="F52" s="21">
        <v>0.39743590354919434</v>
      </c>
      <c r="G52" s="21">
        <v>0.30769231915473938</v>
      </c>
      <c r="H52" s="21">
        <v>0.26923078298568726</v>
      </c>
      <c r="I52" s="21">
        <v>0.28205129504203796</v>
      </c>
      <c r="J52" s="21">
        <v>0.21794871985912323</v>
      </c>
      <c r="K52" s="21">
        <v>0.29487180709838867</v>
      </c>
      <c r="L52" s="21">
        <v>0.62264150381088257</v>
      </c>
      <c r="M52" s="21">
        <v>0.66346156597137451</v>
      </c>
      <c r="N52" s="2" t="s">
        <v>15</v>
      </c>
      <c r="O52" s="2"/>
      <c r="P52" s="2"/>
      <c r="Q52" s="2"/>
      <c r="R52" s="2"/>
      <c r="S52" s="2"/>
      <c r="T52" s="2"/>
      <c r="U52" s="2"/>
      <c r="V52" s="2"/>
      <c r="W52" s="2"/>
      <c r="X52" s="2"/>
      <c r="Y52" s="2"/>
      <c r="Z52" s="2"/>
    </row>
    <row r="53" spans="1:26" ht="12.75" customHeight="1" x14ac:dyDescent="0.25">
      <c r="A53" s="2" t="s">
        <v>70</v>
      </c>
      <c r="B53" s="26">
        <v>6.1015195846557617</v>
      </c>
      <c r="C53" s="21">
        <v>0.84403669834136963</v>
      </c>
      <c r="D53" s="21">
        <v>0.42201834917068481</v>
      </c>
      <c r="E53" s="21">
        <v>0.33944955468177795</v>
      </c>
      <c r="F53" s="21">
        <v>0.46153846383094788</v>
      </c>
      <c r="G53" s="21">
        <v>0.43076923489570618</v>
      </c>
      <c r="H53" s="21">
        <v>0.38461539149284363</v>
      </c>
      <c r="I53" s="21">
        <v>0.36923077702522278</v>
      </c>
      <c r="J53" s="21">
        <v>0.40000000596046448</v>
      </c>
      <c r="K53" s="21">
        <v>0.41538462042808533</v>
      </c>
      <c r="L53" s="21">
        <v>0.35849055647850037</v>
      </c>
      <c r="M53" s="21">
        <v>0.5436893105506897</v>
      </c>
      <c r="N53" s="2" t="s">
        <v>18</v>
      </c>
      <c r="O53" s="2"/>
      <c r="P53" s="2"/>
      <c r="Q53" s="2"/>
      <c r="R53" s="2"/>
      <c r="S53" s="2"/>
      <c r="T53" s="2"/>
      <c r="U53" s="2"/>
      <c r="V53" s="2"/>
      <c r="W53" s="2"/>
      <c r="X53" s="2"/>
      <c r="Y53" s="2"/>
      <c r="Z53" s="2"/>
    </row>
    <row r="54" spans="1:26" ht="12.75" customHeight="1" x14ac:dyDescent="0.25">
      <c r="A54" s="2" t="s">
        <v>78</v>
      </c>
      <c r="B54" s="26">
        <v>6.550814151763916</v>
      </c>
      <c r="C54" s="21">
        <v>0.75609755516052246</v>
      </c>
      <c r="D54" s="21">
        <v>0.59349590539932251</v>
      </c>
      <c r="E54" s="21">
        <v>0.31707316637039185</v>
      </c>
      <c r="F54" s="21">
        <v>0.30487805604934692</v>
      </c>
      <c r="G54" s="21">
        <v>0.24390244483947754</v>
      </c>
      <c r="H54" s="21">
        <v>0.20731706917285919</v>
      </c>
      <c r="I54" s="21">
        <v>0.15853658318519592</v>
      </c>
      <c r="J54" s="21">
        <v>0.15853658318519592</v>
      </c>
      <c r="K54" s="21">
        <v>0.24390244483947754</v>
      </c>
      <c r="L54" s="21">
        <v>0.50406503677368164</v>
      </c>
      <c r="M54" s="21">
        <v>0.5517241358757019</v>
      </c>
      <c r="N54" s="2" t="s">
        <v>26</v>
      </c>
      <c r="O54" s="2"/>
      <c r="P54" s="2"/>
      <c r="Q54" s="2"/>
      <c r="R54" s="2"/>
      <c r="S54" s="2"/>
      <c r="T54" s="2"/>
      <c r="U54" s="2"/>
      <c r="V54" s="2"/>
      <c r="W54" s="2"/>
      <c r="X54" s="2"/>
      <c r="Y54" s="2"/>
      <c r="Z54" s="2"/>
    </row>
    <row r="55" spans="1:26" ht="12.75" customHeight="1" x14ac:dyDescent="0.25">
      <c r="A55" s="2" t="s">
        <v>71</v>
      </c>
      <c r="B55" s="26">
        <v>6.7906150817871094</v>
      </c>
      <c r="C55" s="21">
        <v>0.77165353298187256</v>
      </c>
      <c r="D55" s="21">
        <v>0.47244095802307129</v>
      </c>
      <c r="E55" s="21">
        <v>0.30708661675453186</v>
      </c>
      <c r="F55" s="21">
        <v>0.32432430982589722</v>
      </c>
      <c r="G55" s="21">
        <v>0.32432430982589722</v>
      </c>
      <c r="H55" s="21">
        <v>0.28378379344940186</v>
      </c>
      <c r="I55" s="21">
        <v>0.20270270109176636</v>
      </c>
      <c r="J55" s="21">
        <v>0.35135135054588318</v>
      </c>
      <c r="K55" s="21">
        <v>0.32432430982589722</v>
      </c>
      <c r="L55" s="21">
        <v>0.4126984179019928</v>
      </c>
      <c r="M55" s="21">
        <v>0.34677419066429138</v>
      </c>
      <c r="N55" s="2" t="s">
        <v>24</v>
      </c>
      <c r="O55" s="2"/>
      <c r="P55" s="2"/>
      <c r="Q55" s="2"/>
      <c r="R55" s="2"/>
      <c r="S55" s="2"/>
      <c r="T55" s="2"/>
      <c r="U55" s="2"/>
      <c r="V55" s="2"/>
      <c r="W55" s="2"/>
      <c r="X55" s="2"/>
      <c r="Y55" s="2"/>
      <c r="Z55" s="2"/>
    </row>
    <row r="56" spans="1:26" ht="12.75" customHeight="1" x14ac:dyDescent="0.25">
      <c r="A56" s="2" t="s">
        <v>72</v>
      </c>
      <c r="B56" s="26">
        <v>4.7712249755859375</v>
      </c>
      <c r="C56" s="21">
        <v>0.78740155696868896</v>
      </c>
      <c r="D56" s="21">
        <v>0.76377952098846436</v>
      </c>
      <c r="E56" s="21">
        <v>0.29133859276771545</v>
      </c>
      <c r="F56" s="21">
        <v>0.40350878238677979</v>
      </c>
      <c r="G56" s="21">
        <v>0.50877195596694946</v>
      </c>
      <c r="H56" s="21">
        <v>0.40350878238677979</v>
      </c>
      <c r="I56" s="21">
        <v>0.29824560880661011</v>
      </c>
      <c r="J56" s="21">
        <v>0.42105263471603394</v>
      </c>
      <c r="K56" s="21">
        <v>0.47368422150611877</v>
      </c>
      <c r="L56" s="21">
        <v>0.66666668653488159</v>
      </c>
      <c r="M56" s="21">
        <v>0.3333333432674408</v>
      </c>
      <c r="N56" s="2" t="s">
        <v>21</v>
      </c>
      <c r="O56" s="2"/>
      <c r="P56" s="2"/>
      <c r="Q56" s="2"/>
      <c r="R56" s="2"/>
      <c r="S56" s="2"/>
      <c r="T56" s="2"/>
      <c r="U56" s="2"/>
      <c r="V56" s="2"/>
      <c r="W56" s="2"/>
      <c r="X56" s="2"/>
      <c r="Y56" s="2"/>
      <c r="Z56" s="2"/>
    </row>
    <row r="57" spans="1:26" ht="12.75" customHeight="1" x14ac:dyDescent="0.25">
      <c r="A57" s="2" t="s">
        <v>73</v>
      </c>
      <c r="B57" s="26">
        <v>5.5296030044555664</v>
      </c>
      <c r="C57" s="21">
        <v>0.81451612710952759</v>
      </c>
      <c r="D57" s="21">
        <v>0.67741936445236206</v>
      </c>
      <c r="E57" s="21">
        <v>0.33870968222618103</v>
      </c>
      <c r="F57" s="21">
        <v>0.375</v>
      </c>
      <c r="G57" s="21">
        <v>0.375</v>
      </c>
      <c r="H57" s="21">
        <v>0.34999999403953552</v>
      </c>
      <c r="I57" s="21">
        <v>0.26249998807907104</v>
      </c>
      <c r="J57" s="21">
        <v>0.36250001192092896</v>
      </c>
      <c r="K57" s="21">
        <v>0.33750000596046448</v>
      </c>
      <c r="L57" s="21">
        <v>0.59349590539932251</v>
      </c>
      <c r="M57" s="21">
        <v>0.4237288236618042</v>
      </c>
      <c r="N57" s="2" t="s">
        <v>18</v>
      </c>
      <c r="O57" s="2"/>
      <c r="P57" s="2"/>
      <c r="Q57" s="2"/>
      <c r="R57" s="2"/>
      <c r="S57" s="2"/>
      <c r="T57" s="2"/>
      <c r="U57" s="2"/>
      <c r="V57" s="2"/>
      <c r="W57" s="2"/>
      <c r="X57" s="2"/>
      <c r="Y57" s="2"/>
      <c r="Z57" s="2"/>
    </row>
    <row r="58" spans="1:26" ht="12.75" customHeight="1" x14ac:dyDescent="0.25">
      <c r="A58" s="2" t="s">
        <v>74</v>
      </c>
      <c r="B58" s="26">
        <v>6.4196443557739258</v>
      </c>
      <c r="C58" s="21">
        <v>0.83749997615814209</v>
      </c>
      <c r="D58" s="21">
        <v>0.63125002384185791</v>
      </c>
      <c r="E58" s="21">
        <v>0.23749999701976776</v>
      </c>
      <c r="F58" s="21">
        <v>0.27906978130340576</v>
      </c>
      <c r="G58" s="21">
        <v>0.32558140158653259</v>
      </c>
      <c r="H58" s="21">
        <v>0.26744186878204346</v>
      </c>
      <c r="I58" s="21">
        <v>0.25581395626068115</v>
      </c>
      <c r="J58" s="21">
        <v>0.30232557654380798</v>
      </c>
      <c r="K58" s="21">
        <v>0.27906978130340576</v>
      </c>
      <c r="L58" s="21">
        <v>0.57861638069152832</v>
      </c>
      <c r="M58" s="21">
        <v>0.31210190057754517</v>
      </c>
      <c r="N58" s="2" t="s">
        <v>26</v>
      </c>
      <c r="O58" s="2"/>
      <c r="P58" s="2"/>
      <c r="Q58" s="2"/>
      <c r="R58" s="2"/>
      <c r="S58" s="2"/>
      <c r="T58" s="2"/>
      <c r="U58" s="2"/>
      <c r="V58" s="2"/>
      <c r="W58" s="2"/>
      <c r="X58" s="2"/>
      <c r="Y58" s="2"/>
      <c r="Z58" s="2"/>
    </row>
    <row r="59" spans="1:26" ht="12.75" customHeight="1" x14ac:dyDescent="0.25">
      <c r="A59" s="2" t="s">
        <v>75</v>
      </c>
      <c r="B59" s="26">
        <v>5.9336743354797363</v>
      </c>
      <c r="C59" s="21">
        <v>0.78571426868438721</v>
      </c>
      <c r="D59" s="21">
        <v>0.5625</v>
      </c>
      <c r="E59" s="21">
        <v>0.34821429848670959</v>
      </c>
      <c r="F59" s="21">
        <v>0.43037974834442139</v>
      </c>
      <c r="G59" s="21">
        <v>0.40506330132484436</v>
      </c>
      <c r="H59" s="21">
        <v>0.35443037748336792</v>
      </c>
      <c r="I59" s="21">
        <v>0.30379745364189148</v>
      </c>
      <c r="J59" s="21">
        <v>0.37974682450294495</v>
      </c>
      <c r="K59" s="21">
        <v>0.29113924503326416</v>
      </c>
      <c r="L59" s="21">
        <v>0.46296295523643494</v>
      </c>
      <c r="M59" s="21">
        <v>0.40206184983253479</v>
      </c>
      <c r="N59" s="2" t="s">
        <v>15</v>
      </c>
      <c r="O59" s="2"/>
      <c r="P59" s="2"/>
      <c r="Q59" s="2"/>
      <c r="R59" s="2"/>
      <c r="S59" s="2"/>
      <c r="T59" s="2"/>
      <c r="U59" s="2"/>
      <c r="V59" s="2"/>
      <c r="W59" s="2"/>
      <c r="X59" s="2"/>
      <c r="Y59" s="2"/>
      <c r="Z59" s="2"/>
    </row>
    <row r="60" spans="1:26" ht="12.75" customHeight="1" x14ac:dyDescent="0.25">
      <c r="A60" s="2" t="s">
        <v>77</v>
      </c>
      <c r="B60" s="26">
        <v>6.9819784164428711</v>
      </c>
      <c r="C60" s="21">
        <v>0.81553399562835693</v>
      </c>
      <c r="D60" s="21">
        <v>0.5339806079864502</v>
      </c>
      <c r="E60" s="21">
        <v>0.2330097109079361</v>
      </c>
      <c r="F60" s="21">
        <v>0.30000001192092896</v>
      </c>
      <c r="G60" s="21">
        <v>0.28333333134651184</v>
      </c>
      <c r="H60" s="21">
        <v>0.21666666865348816</v>
      </c>
      <c r="I60" s="21">
        <v>0.20000000298023224</v>
      </c>
      <c r="J60" s="21">
        <v>0.26666668057441711</v>
      </c>
      <c r="K60" s="21">
        <v>0.26666668057441711</v>
      </c>
      <c r="L60" s="21">
        <v>0.5436893105506897</v>
      </c>
      <c r="M60" s="21">
        <v>0.30693069100379944</v>
      </c>
      <c r="N60" s="2" t="s">
        <v>15</v>
      </c>
      <c r="O60" s="2"/>
      <c r="P60" s="2"/>
      <c r="Q60" s="2"/>
      <c r="R60" s="2"/>
      <c r="S60" s="2"/>
      <c r="T60" s="2"/>
      <c r="U60" s="2"/>
      <c r="V60" s="2"/>
      <c r="W60" s="2"/>
      <c r="X60" s="2"/>
      <c r="Y60" s="2"/>
      <c r="Z60" s="2"/>
    </row>
    <row r="61" spans="1:26" ht="12.75" customHeight="1" x14ac:dyDescent="0.25">
      <c r="A61" s="2" t="s">
        <v>79</v>
      </c>
      <c r="B61" s="26">
        <v>6.2308740615844727</v>
      </c>
      <c r="C61" s="21">
        <v>0.81730771064758301</v>
      </c>
      <c r="D61" s="21">
        <v>0.50961536169052124</v>
      </c>
      <c r="E61" s="21">
        <v>0.3461538553237915</v>
      </c>
      <c r="F61" s="21">
        <v>0.4285714328289032</v>
      </c>
      <c r="G61" s="21">
        <v>0.38571429252624512</v>
      </c>
      <c r="H61" s="21">
        <v>0.30000001192092896</v>
      </c>
      <c r="I61" s="21">
        <v>0.28571429848670959</v>
      </c>
      <c r="J61" s="21">
        <v>0.37142857909202576</v>
      </c>
      <c r="K61" s="21">
        <v>0.34285715222358704</v>
      </c>
      <c r="L61" s="21">
        <v>0.43689319491386414</v>
      </c>
      <c r="M61" s="21">
        <v>0.4285714328289032</v>
      </c>
      <c r="N61" s="2" t="s">
        <v>18</v>
      </c>
      <c r="O61" s="2"/>
      <c r="P61" s="2"/>
      <c r="Q61" s="2"/>
      <c r="R61" s="2"/>
      <c r="S61" s="2"/>
      <c r="T61" s="2"/>
      <c r="U61" s="2"/>
      <c r="V61" s="2"/>
      <c r="W61" s="2"/>
      <c r="X61" s="2"/>
      <c r="Y61" s="2"/>
      <c r="Z61" s="2"/>
    </row>
    <row r="62" spans="1:26" ht="12.75" customHeight="1" x14ac:dyDescent="0.25">
      <c r="A62" s="2" t="s">
        <v>80</v>
      </c>
      <c r="B62" s="26">
        <v>6.9511041641235352</v>
      </c>
      <c r="C62" s="21">
        <v>0.80314958095550537</v>
      </c>
      <c r="D62" s="21">
        <v>0.68503934144973755</v>
      </c>
      <c r="E62" s="21">
        <v>0.12598425149917603</v>
      </c>
      <c r="F62" s="21">
        <v>0.17073170840740204</v>
      </c>
      <c r="G62" s="21">
        <v>0.14634145796298981</v>
      </c>
      <c r="H62" s="21">
        <v>0.15853658318519592</v>
      </c>
      <c r="I62" s="21">
        <v>0.13414634764194489</v>
      </c>
      <c r="J62" s="21">
        <v>0.13414634764194489</v>
      </c>
      <c r="K62" s="21">
        <v>0.17073170840740204</v>
      </c>
      <c r="L62" s="21">
        <v>0.64800000190734863</v>
      </c>
      <c r="M62" s="21">
        <v>0.45901638269424438</v>
      </c>
      <c r="N62" s="2" t="s">
        <v>15</v>
      </c>
      <c r="O62" s="2"/>
      <c r="P62" s="2"/>
      <c r="Q62" s="2"/>
      <c r="R62" s="2"/>
      <c r="S62" s="2"/>
      <c r="T62" s="2"/>
      <c r="U62" s="2"/>
      <c r="V62" s="2"/>
      <c r="W62" s="2"/>
      <c r="X62" s="2"/>
      <c r="Y62" s="2"/>
      <c r="Z62" s="2"/>
    </row>
    <row r="63" spans="1:26" ht="12.75" customHeight="1" x14ac:dyDescent="0.25">
      <c r="A63" s="2" t="s">
        <v>81</v>
      </c>
      <c r="B63" s="26">
        <v>6.0419540405273438</v>
      </c>
      <c r="C63" s="21">
        <v>0.81142854690551758</v>
      </c>
      <c r="D63" s="21">
        <v>0.64571428298950195</v>
      </c>
      <c r="E63" s="21">
        <v>0.31999999284744263</v>
      </c>
      <c r="F63" s="21">
        <v>0.30630630254745483</v>
      </c>
      <c r="G63" s="21">
        <v>0.35135135054588318</v>
      </c>
      <c r="H63" s="21">
        <v>0.29729729890823364</v>
      </c>
      <c r="I63" s="21">
        <v>0.28828829526901245</v>
      </c>
      <c r="J63" s="21">
        <v>0.34234234690666199</v>
      </c>
      <c r="K63" s="21">
        <v>0.31531530618667603</v>
      </c>
      <c r="L63" s="21">
        <v>0.51428574323654175</v>
      </c>
      <c r="M63" s="21">
        <v>0.33939394354820251</v>
      </c>
      <c r="N63" s="2" t="s">
        <v>21</v>
      </c>
      <c r="O63" s="2"/>
      <c r="P63" s="2"/>
      <c r="Q63" s="2"/>
      <c r="R63" s="2"/>
      <c r="S63" s="2"/>
      <c r="T63" s="2"/>
      <c r="U63" s="2"/>
      <c r="V63" s="2"/>
      <c r="W63" s="2"/>
      <c r="X63" s="2"/>
      <c r="Y63" s="2"/>
      <c r="Z63" s="2"/>
    </row>
    <row r="64" spans="1:26" ht="12.75" customHeight="1" x14ac:dyDescent="0.25">
      <c r="A64" s="5" t="s">
        <v>82</v>
      </c>
      <c r="B64" s="27">
        <v>5.7769341468811035</v>
      </c>
      <c r="C64" s="29">
        <v>0.87272727489471436</v>
      </c>
      <c r="D64" s="29">
        <v>0.5727272629737854</v>
      </c>
      <c r="E64" s="29">
        <v>0.35454544425010681</v>
      </c>
      <c r="F64" s="29">
        <v>0.47999998927116394</v>
      </c>
      <c r="G64" s="29">
        <v>0.41333332657814026</v>
      </c>
      <c r="H64" s="29">
        <v>0.40000000596046448</v>
      </c>
      <c r="I64" s="29">
        <v>0.30666667222976685</v>
      </c>
      <c r="J64" s="29">
        <v>0.38666665554046631</v>
      </c>
      <c r="K64" s="29">
        <v>0.3333333432674408</v>
      </c>
      <c r="L64" s="29">
        <v>0.48181816935539246</v>
      </c>
      <c r="M64" s="29">
        <v>0.46296295523643494</v>
      </c>
      <c r="N64" s="5" t="s">
        <v>18</v>
      </c>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15" t="e">
        <f>#REF!</f>
        <v>#REF!</v>
      </c>
      <c r="B66" s="16">
        <f t="shared" ref="B66:M66" si="0">SUMIF($A$2:$A$64,$A$66,B2:B64)</f>
        <v>0</v>
      </c>
      <c r="C66" s="17">
        <f t="shared" si="0"/>
        <v>0</v>
      </c>
      <c r="D66" s="17">
        <f t="shared" si="0"/>
        <v>0</v>
      </c>
      <c r="E66" s="17">
        <f t="shared" si="0"/>
        <v>0</v>
      </c>
      <c r="F66" s="17">
        <f t="shared" si="0"/>
        <v>0</v>
      </c>
      <c r="G66" s="17">
        <f t="shared" si="0"/>
        <v>0</v>
      </c>
      <c r="H66" s="17">
        <f t="shared" si="0"/>
        <v>0</v>
      </c>
      <c r="I66" s="17">
        <f t="shared" si="0"/>
        <v>0</v>
      </c>
      <c r="J66" s="17">
        <f t="shared" si="0"/>
        <v>0</v>
      </c>
      <c r="K66" s="17">
        <f t="shared" si="0"/>
        <v>0</v>
      </c>
      <c r="L66" s="17">
        <f t="shared" si="0"/>
        <v>0</v>
      </c>
      <c r="M66" s="17">
        <f t="shared" si="0"/>
        <v>0</v>
      </c>
      <c r="N66" s="2"/>
      <c r="O66" s="2"/>
      <c r="P66" s="2"/>
      <c r="Q66" s="2"/>
      <c r="R66" s="2"/>
      <c r="S66" s="2"/>
      <c r="T66" s="2"/>
      <c r="U66" s="2"/>
      <c r="V66" s="2"/>
      <c r="W66" s="2"/>
      <c r="X66" s="2"/>
      <c r="Y66" s="2"/>
      <c r="Z66" s="2"/>
    </row>
    <row r="67" spans="1:26" ht="12.75" customHeight="1" x14ac:dyDescent="0.25">
      <c r="A67" s="2" t="s">
        <v>102</v>
      </c>
      <c r="B67" s="19">
        <f t="shared" ref="B67:M67" si="1">MIN(B2:B64)</f>
        <v>3.7991547584533691</v>
      </c>
      <c r="C67" s="21">
        <f t="shared" si="1"/>
        <v>0.36764705181121826</v>
      </c>
      <c r="D67" s="21">
        <f t="shared" si="1"/>
        <v>0.41216215491294861</v>
      </c>
      <c r="E67" s="21">
        <f t="shared" si="1"/>
        <v>0.12598425149917603</v>
      </c>
      <c r="F67" s="21">
        <f t="shared" si="1"/>
        <v>7.594936341047287E-2</v>
      </c>
      <c r="G67" s="21">
        <f t="shared" si="1"/>
        <v>8.9552238583564758E-2</v>
      </c>
      <c r="H67" s="21">
        <f t="shared" si="1"/>
        <v>0.10447761416435242</v>
      </c>
      <c r="I67" s="21">
        <f t="shared" si="1"/>
        <v>1.2658228166401386E-2</v>
      </c>
      <c r="J67" s="21">
        <f t="shared" si="1"/>
        <v>9.8214283585548401E-2</v>
      </c>
      <c r="K67" s="21">
        <f t="shared" si="1"/>
        <v>6.3291139900684357E-2</v>
      </c>
      <c r="L67" s="21">
        <f t="shared" si="1"/>
        <v>0.317241370677948</v>
      </c>
      <c r="M67" s="21">
        <f t="shared" si="1"/>
        <v>0.30693069100379944</v>
      </c>
      <c r="N67" s="2"/>
      <c r="O67" s="2"/>
      <c r="P67" s="2"/>
      <c r="Q67" s="2"/>
      <c r="R67" s="2"/>
      <c r="S67" s="2"/>
      <c r="T67" s="2"/>
      <c r="U67" s="2"/>
      <c r="V67" s="2"/>
      <c r="W67" s="2"/>
      <c r="X67" s="2"/>
      <c r="Y67" s="2"/>
      <c r="Z67" s="2"/>
    </row>
    <row r="68" spans="1:26" ht="12.75" customHeight="1" x14ac:dyDescent="0.25">
      <c r="A68" s="2" t="s">
        <v>103</v>
      </c>
      <c r="B68" s="19">
        <f t="shared" ref="B68:M68" si="2">MEDIAN(B2:B64)</f>
        <v>5.8451757431030273</v>
      </c>
      <c r="C68" s="21">
        <f t="shared" si="2"/>
        <v>0.81553399562835693</v>
      </c>
      <c r="D68" s="21">
        <f t="shared" si="2"/>
        <v>0.640625</v>
      </c>
      <c r="E68" s="21">
        <f t="shared" si="2"/>
        <v>0.30708661675453186</v>
      </c>
      <c r="F68" s="21">
        <f t="shared" si="2"/>
        <v>0.3333333432674408</v>
      </c>
      <c r="G68" s="21">
        <f t="shared" si="2"/>
        <v>0.32258063554763794</v>
      </c>
      <c r="H68" s="21">
        <f t="shared" si="2"/>
        <v>0.29729729890823364</v>
      </c>
      <c r="I68" s="21">
        <f t="shared" si="2"/>
        <v>0.27173912525177002</v>
      </c>
      <c r="J68" s="21">
        <f t="shared" si="2"/>
        <v>0.32222223281860352</v>
      </c>
      <c r="K68" s="21">
        <f t="shared" si="2"/>
        <v>0.29487180709838867</v>
      </c>
      <c r="L68" s="21">
        <f t="shared" si="2"/>
        <v>0.59310346841812134</v>
      </c>
      <c r="M68" s="21">
        <f t="shared" si="2"/>
        <v>0.48993289470672607</v>
      </c>
      <c r="N68" s="2"/>
      <c r="O68" s="2"/>
      <c r="P68" s="2"/>
      <c r="Q68" s="2"/>
      <c r="R68" s="2"/>
      <c r="S68" s="2"/>
      <c r="T68" s="2"/>
      <c r="U68" s="2"/>
      <c r="V68" s="2"/>
      <c r="W68" s="2"/>
      <c r="X68" s="2"/>
      <c r="Y68" s="2"/>
      <c r="Z68" s="2"/>
    </row>
    <row r="69" spans="1:26" ht="12.75" customHeight="1" x14ac:dyDescent="0.25">
      <c r="A69" s="2" t="s">
        <v>104</v>
      </c>
      <c r="B69" s="19">
        <f t="shared" ref="B69:M69" si="3">MAX(B2:B64)</f>
        <v>7.3678750991821289</v>
      </c>
      <c r="C69" s="21">
        <f t="shared" si="3"/>
        <v>0.94736844301223755</v>
      </c>
      <c r="D69" s="21">
        <f t="shared" si="3"/>
        <v>0.82352942228317261</v>
      </c>
      <c r="E69" s="21">
        <f t="shared" si="3"/>
        <v>0.48113209009170532</v>
      </c>
      <c r="F69" s="21">
        <f t="shared" si="3"/>
        <v>0.52631580829620361</v>
      </c>
      <c r="G69" s="21">
        <f t="shared" si="3"/>
        <v>0.52631580829620361</v>
      </c>
      <c r="H69" s="21">
        <f t="shared" si="3"/>
        <v>0.46315789222717285</v>
      </c>
      <c r="I69" s="21">
        <f t="shared" si="3"/>
        <v>0.42105263471603394</v>
      </c>
      <c r="J69" s="21">
        <f t="shared" si="3"/>
        <v>0.48387095332145691</v>
      </c>
      <c r="K69" s="21">
        <f t="shared" si="3"/>
        <v>0.47368422150611877</v>
      </c>
      <c r="L69" s="21">
        <f t="shared" si="3"/>
        <v>0.80597013235092163</v>
      </c>
      <c r="M69" s="21">
        <f t="shared" si="3"/>
        <v>0.73553717136383057</v>
      </c>
      <c r="N69" s="2"/>
      <c r="O69" s="2"/>
      <c r="P69" s="2"/>
      <c r="Q69" s="2"/>
      <c r="R69" s="2"/>
      <c r="S69" s="2"/>
      <c r="T69" s="2"/>
      <c r="U69" s="2"/>
      <c r="V69" s="2"/>
      <c r="W69" s="2"/>
      <c r="X69" s="2"/>
      <c r="Y69" s="2"/>
      <c r="Z69" s="2"/>
    </row>
    <row r="70" spans="1:26" ht="12.75" customHeight="1" x14ac:dyDescent="0.25">
      <c r="A70" s="2" t="s">
        <v>105</v>
      </c>
      <c r="B70" s="10" t="e">
        <f t="shared" ref="B70:C70" si="4">RANK(B66,B2:B64,0)</f>
        <v>#N/A</v>
      </c>
      <c r="C70" s="10" t="e">
        <f t="shared" si="4"/>
        <v>#N/A</v>
      </c>
      <c r="D70" s="10" t="e">
        <f t="shared" ref="D70:M70" si="5">RANK(D66,D2:D64,1)</f>
        <v>#N/A</v>
      </c>
      <c r="E70" s="10" t="e">
        <f t="shared" si="5"/>
        <v>#N/A</v>
      </c>
      <c r="F70" s="10" t="e">
        <f t="shared" si="5"/>
        <v>#N/A</v>
      </c>
      <c r="G70" s="10" t="e">
        <f t="shared" si="5"/>
        <v>#N/A</v>
      </c>
      <c r="H70" s="10" t="e">
        <f t="shared" si="5"/>
        <v>#N/A</v>
      </c>
      <c r="I70" s="10" t="e">
        <f t="shared" si="5"/>
        <v>#N/A</v>
      </c>
      <c r="J70" s="10" t="e">
        <f t="shared" si="5"/>
        <v>#N/A</v>
      </c>
      <c r="K70" s="10" t="e">
        <f t="shared" si="5"/>
        <v>#N/A</v>
      </c>
      <c r="L70" s="10" t="e">
        <f t="shared" si="5"/>
        <v>#N/A</v>
      </c>
      <c r="M70" s="10" t="e">
        <f t="shared" si="5"/>
        <v>#N/A</v>
      </c>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3" width="16.42578125" customWidth="1"/>
    <col min="4" max="4" width="24.7109375" customWidth="1"/>
    <col min="5" max="5" width="20.28515625" customWidth="1"/>
    <col min="6" max="6" width="24.28515625" customWidth="1"/>
    <col min="7" max="7" width="18.28515625" customWidth="1"/>
    <col min="8" max="8" width="22.85546875" customWidth="1"/>
    <col min="9" max="9" width="22.140625" customWidth="1"/>
    <col min="10" max="10" width="28.140625" customWidth="1"/>
    <col min="11" max="11" width="27.7109375" customWidth="1"/>
    <col min="12" max="12" width="26.140625" customWidth="1"/>
    <col min="13" max="26" width="8.7109375" customWidth="1"/>
  </cols>
  <sheetData>
    <row r="1" spans="1:26" ht="78.75" customHeight="1" x14ac:dyDescent="0.25">
      <c r="A1" s="37" t="s">
        <v>0</v>
      </c>
      <c r="B1" s="38" t="s">
        <v>7</v>
      </c>
      <c r="C1" s="37" t="s">
        <v>179</v>
      </c>
      <c r="D1" s="37" t="s">
        <v>180</v>
      </c>
      <c r="E1" s="37" t="s">
        <v>181</v>
      </c>
      <c r="F1" s="37" t="s">
        <v>182</v>
      </c>
      <c r="G1" s="37" t="s">
        <v>183</v>
      </c>
      <c r="H1" s="37" t="s">
        <v>184</v>
      </c>
      <c r="I1" s="37" t="s">
        <v>185</v>
      </c>
      <c r="J1" s="37" t="s">
        <v>186</v>
      </c>
      <c r="K1" s="37" t="s">
        <v>187</v>
      </c>
      <c r="L1" s="1" t="s">
        <v>13</v>
      </c>
      <c r="M1" s="2"/>
      <c r="N1" s="2"/>
      <c r="O1" s="2"/>
      <c r="P1" s="2"/>
      <c r="Q1" s="2"/>
      <c r="R1" s="2"/>
      <c r="S1" s="2"/>
      <c r="T1" s="2"/>
      <c r="U1" s="2"/>
      <c r="V1" s="2"/>
      <c r="W1" s="2"/>
      <c r="X1" s="2"/>
      <c r="Y1" s="2"/>
      <c r="Z1" s="2"/>
    </row>
    <row r="2" spans="1:26" ht="12.75" customHeight="1" x14ac:dyDescent="0.25">
      <c r="A2" s="2" t="s">
        <v>14</v>
      </c>
      <c r="B2" s="26">
        <v>5.655245304107666</v>
      </c>
      <c r="C2" s="21">
        <v>0.45600000023841858</v>
      </c>
      <c r="D2" s="21">
        <v>0.4444444477558136</v>
      </c>
      <c r="E2" s="21">
        <v>0.35199999809265137</v>
      </c>
      <c r="F2" s="21">
        <v>0.64800000190734863</v>
      </c>
      <c r="G2" s="21">
        <v>0.57599997520446777</v>
      </c>
      <c r="H2" s="21">
        <v>0.42399999499320984</v>
      </c>
      <c r="I2" s="21">
        <v>0.71653544902801514</v>
      </c>
      <c r="J2" s="21">
        <v>0.52845525741577148</v>
      </c>
      <c r="K2" s="21">
        <v>0.62184876203536987</v>
      </c>
      <c r="L2" s="2" t="s">
        <v>15</v>
      </c>
      <c r="M2" s="2"/>
      <c r="N2" s="2"/>
      <c r="O2" s="2"/>
      <c r="P2" s="2"/>
      <c r="Q2" s="2"/>
      <c r="R2" s="2"/>
      <c r="S2" s="2"/>
      <c r="T2" s="2"/>
      <c r="U2" s="2"/>
      <c r="V2" s="2"/>
      <c r="W2" s="2"/>
      <c r="X2" s="2"/>
      <c r="Y2" s="2"/>
      <c r="Z2" s="2"/>
    </row>
    <row r="3" spans="1:26" ht="12.75" customHeight="1" x14ac:dyDescent="0.25">
      <c r="A3" s="2" t="s">
        <v>29</v>
      </c>
      <c r="B3" s="26">
        <v>5.6548914909362793</v>
      </c>
      <c r="C3" s="21">
        <v>0.55970150232315063</v>
      </c>
      <c r="D3" s="21">
        <v>0.21212121844291687</v>
      </c>
      <c r="E3" s="21">
        <v>0.52205884456634521</v>
      </c>
      <c r="F3" s="21">
        <v>0.64705884456634521</v>
      </c>
      <c r="G3" s="21">
        <v>0.59558820724487305</v>
      </c>
      <c r="H3" s="21">
        <v>0.61764705181121826</v>
      </c>
      <c r="I3" s="21">
        <v>0.66176468133926392</v>
      </c>
      <c r="J3" s="21">
        <v>0.380952388048172</v>
      </c>
      <c r="K3" s="21">
        <v>0.64615386724472046</v>
      </c>
      <c r="L3" s="2" t="s">
        <v>24</v>
      </c>
      <c r="M3" s="2"/>
      <c r="N3" s="2"/>
      <c r="O3" s="2"/>
      <c r="P3" s="2"/>
      <c r="Q3" s="2"/>
      <c r="R3" s="2"/>
      <c r="S3" s="2"/>
      <c r="T3" s="2"/>
      <c r="U3" s="2"/>
      <c r="V3" s="2"/>
      <c r="W3" s="2"/>
      <c r="X3" s="2"/>
      <c r="Y3" s="2"/>
      <c r="Z3" s="2"/>
    </row>
    <row r="4" spans="1:26" ht="12.75" customHeight="1" x14ac:dyDescent="0.25">
      <c r="A4" s="2" t="s">
        <v>17</v>
      </c>
      <c r="B4" s="26">
        <v>6.5366082191467285</v>
      </c>
      <c r="C4" s="21">
        <v>0.61654132604598999</v>
      </c>
      <c r="D4" s="21">
        <v>0.20300751924514771</v>
      </c>
      <c r="E4" s="21">
        <v>0.47368422150611877</v>
      </c>
      <c r="F4" s="21">
        <v>0.75939851999282837</v>
      </c>
      <c r="G4" s="21">
        <v>0.75939851999282837</v>
      </c>
      <c r="H4" s="21">
        <v>0.54135340452194214</v>
      </c>
      <c r="I4" s="21">
        <v>0.8195488452911377</v>
      </c>
      <c r="J4" s="21">
        <v>0.37878787517547607</v>
      </c>
      <c r="K4" s="21">
        <v>0.7421875</v>
      </c>
      <c r="L4" s="2" t="s">
        <v>18</v>
      </c>
      <c r="M4" s="2"/>
      <c r="N4" s="2"/>
      <c r="O4" s="2"/>
      <c r="P4" s="2"/>
      <c r="Q4" s="2"/>
      <c r="R4" s="2"/>
      <c r="S4" s="2"/>
      <c r="T4" s="2"/>
      <c r="U4" s="2"/>
      <c r="V4" s="2"/>
      <c r="W4" s="2"/>
      <c r="X4" s="2"/>
      <c r="Y4" s="2"/>
      <c r="Z4" s="2"/>
    </row>
    <row r="5" spans="1:26" ht="12.75" customHeight="1" x14ac:dyDescent="0.25">
      <c r="A5" s="2" t="s">
        <v>19</v>
      </c>
      <c r="B5" s="26">
        <v>6.2753195762634277</v>
      </c>
      <c r="C5" s="21">
        <v>0.63749998807907104</v>
      </c>
      <c r="D5" s="21">
        <v>0.13750000298023224</v>
      </c>
      <c r="E5" s="21">
        <v>0.64999997615814209</v>
      </c>
      <c r="F5" s="21">
        <v>0.78750002384185791</v>
      </c>
      <c r="G5" s="21">
        <v>0.69999998807907104</v>
      </c>
      <c r="H5" s="21">
        <v>0.64999997615814209</v>
      </c>
      <c r="I5" s="21">
        <v>0.72500002384185791</v>
      </c>
      <c r="J5" s="21">
        <v>0.39240506291389465</v>
      </c>
      <c r="K5" s="21">
        <v>0.76249998807907104</v>
      </c>
      <c r="L5" s="2" t="s">
        <v>18</v>
      </c>
      <c r="M5" s="2"/>
      <c r="N5" s="2"/>
      <c r="O5" s="2"/>
      <c r="P5" s="2"/>
      <c r="Q5" s="2"/>
      <c r="R5" s="2"/>
      <c r="S5" s="2"/>
      <c r="T5" s="2"/>
      <c r="U5" s="2"/>
      <c r="V5" s="2"/>
      <c r="W5" s="2"/>
      <c r="X5" s="2"/>
      <c r="Y5" s="2"/>
      <c r="Z5" s="2"/>
    </row>
    <row r="6" spans="1:26" ht="12.75" customHeight="1" x14ac:dyDescent="0.25">
      <c r="A6" s="2" t="s">
        <v>16</v>
      </c>
      <c r="B6" s="26">
        <v>5.9552984237670898</v>
      </c>
      <c r="C6" s="21">
        <v>0.25</v>
      </c>
      <c r="D6" s="21">
        <v>0.18000000715255737</v>
      </c>
      <c r="E6" s="21">
        <v>0.70999997854232788</v>
      </c>
      <c r="F6" s="21">
        <v>0.76999998092651367</v>
      </c>
      <c r="G6" s="21">
        <v>0.80000001192092896</v>
      </c>
      <c r="H6" s="21">
        <v>0.75</v>
      </c>
      <c r="I6" s="21">
        <v>0.87000000476837158</v>
      </c>
      <c r="J6" s="21">
        <v>0.66666668653488159</v>
      </c>
      <c r="K6" s="21">
        <v>0.76530611515045166</v>
      </c>
      <c r="L6" s="2" t="s">
        <v>15</v>
      </c>
      <c r="M6" s="2"/>
      <c r="N6" s="2"/>
      <c r="O6" s="2"/>
      <c r="P6" s="2"/>
      <c r="Q6" s="2"/>
      <c r="R6" s="2"/>
      <c r="S6" s="2"/>
      <c r="T6" s="2"/>
      <c r="U6" s="2"/>
      <c r="V6" s="2"/>
      <c r="W6" s="2"/>
      <c r="X6" s="2"/>
      <c r="Y6" s="2"/>
      <c r="Z6" s="2"/>
    </row>
    <row r="7" spans="1:26" ht="12.75" customHeight="1" x14ac:dyDescent="0.25">
      <c r="A7" s="2" t="s">
        <v>20</v>
      </c>
      <c r="B7" s="26">
        <v>6.1529397964477539</v>
      </c>
      <c r="C7" s="21">
        <v>0.50326800346374512</v>
      </c>
      <c r="D7" s="21">
        <v>0.18709677457809448</v>
      </c>
      <c r="E7" s="21">
        <v>0.71612900495529175</v>
      </c>
      <c r="F7" s="21">
        <v>0.83225804567337036</v>
      </c>
      <c r="G7" s="21">
        <v>0.79354840517044067</v>
      </c>
      <c r="H7" s="21">
        <v>0.70967739820480347</v>
      </c>
      <c r="I7" s="21">
        <v>0.78709679841995239</v>
      </c>
      <c r="J7" s="21">
        <v>0.41558441519737244</v>
      </c>
      <c r="K7" s="21">
        <v>0.79738563299179077</v>
      </c>
      <c r="L7" s="2" t="s">
        <v>21</v>
      </c>
      <c r="M7" s="2"/>
      <c r="N7" s="2"/>
      <c r="O7" s="2"/>
      <c r="P7" s="2"/>
      <c r="Q7" s="2"/>
      <c r="R7" s="2"/>
      <c r="S7" s="2"/>
      <c r="T7" s="2"/>
      <c r="U7" s="2"/>
      <c r="V7" s="2"/>
      <c r="W7" s="2"/>
      <c r="X7" s="2"/>
      <c r="Y7" s="2"/>
      <c r="Z7" s="2"/>
    </row>
    <row r="8" spans="1:26" ht="12.75" customHeight="1" x14ac:dyDescent="0.25">
      <c r="A8" s="2" t="s">
        <v>22</v>
      </c>
      <c r="B8" s="26">
        <v>6.5348114967346191</v>
      </c>
      <c r="C8" s="21">
        <v>0.30075186491012573</v>
      </c>
      <c r="D8" s="21">
        <v>0.11940298229455948</v>
      </c>
      <c r="E8" s="21">
        <v>0.20895522832870483</v>
      </c>
      <c r="F8" s="21">
        <v>0.9029850959777832</v>
      </c>
      <c r="G8" s="21">
        <v>0.91044777631759644</v>
      </c>
      <c r="H8" s="21">
        <v>0.7985074520111084</v>
      </c>
      <c r="I8" s="21">
        <v>0.91176468133926392</v>
      </c>
      <c r="J8" s="21">
        <v>0.10687022656202316</v>
      </c>
      <c r="K8" s="21">
        <v>0.83458644151687622</v>
      </c>
      <c r="L8" s="2" t="s">
        <v>15</v>
      </c>
      <c r="M8" s="2"/>
      <c r="N8" s="2"/>
      <c r="O8" s="2"/>
      <c r="P8" s="2"/>
      <c r="Q8" s="2"/>
      <c r="R8" s="2"/>
      <c r="S8" s="2"/>
      <c r="T8" s="2"/>
      <c r="U8" s="2"/>
      <c r="V8" s="2"/>
      <c r="W8" s="2"/>
      <c r="X8" s="2"/>
      <c r="Y8" s="2"/>
      <c r="Z8" s="2"/>
    </row>
    <row r="9" spans="1:26" ht="12.75" customHeight="1" x14ac:dyDescent="0.25">
      <c r="A9" s="2" t="s">
        <v>25</v>
      </c>
      <c r="B9" s="26">
        <v>6.7360243797302246</v>
      </c>
      <c r="C9" s="21">
        <v>0.49230769276618958</v>
      </c>
      <c r="D9" s="21">
        <v>0.29457363486289978</v>
      </c>
      <c r="E9" s="21">
        <v>0.44961240887641907</v>
      </c>
      <c r="F9" s="21">
        <v>0.84496122598648071</v>
      </c>
      <c r="G9" s="21">
        <v>0.79069769382476807</v>
      </c>
      <c r="H9" s="21">
        <v>0.55038762092590332</v>
      </c>
      <c r="I9" s="21">
        <v>0.83076924085617065</v>
      </c>
      <c r="J9" s="21">
        <v>0.66399997472763062</v>
      </c>
      <c r="K9" s="21">
        <v>0.80000001192092896</v>
      </c>
      <c r="L9" s="2" t="s">
        <v>26</v>
      </c>
      <c r="M9" s="2"/>
      <c r="N9" s="2"/>
      <c r="O9" s="2"/>
      <c r="P9" s="2"/>
      <c r="Q9" s="2"/>
      <c r="R9" s="2"/>
      <c r="S9" s="2"/>
      <c r="T9" s="2"/>
      <c r="U9" s="2"/>
      <c r="V9" s="2"/>
      <c r="W9" s="2"/>
      <c r="X9" s="2"/>
      <c r="Y9" s="2"/>
      <c r="Z9" s="2"/>
    </row>
    <row r="10" spans="1:26" ht="12.75" customHeight="1" x14ac:dyDescent="0.25">
      <c r="A10" s="2" t="s">
        <v>23</v>
      </c>
      <c r="B10" s="26">
        <v>6.4275112152099609</v>
      </c>
      <c r="C10" s="21">
        <v>0.33516484498977661</v>
      </c>
      <c r="D10" s="21">
        <v>0.16483516991138458</v>
      </c>
      <c r="E10" s="21">
        <v>0.19230769574642181</v>
      </c>
      <c r="F10" s="21">
        <v>0.85164833068847656</v>
      </c>
      <c r="G10" s="21">
        <v>0.82417583465576172</v>
      </c>
      <c r="H10" s="21">
        <v>0.70879119634628296</v>
      </c>
      <c r="I10" s="21">
        <v>0.82065218687057495</v>
      </c>
      <c r="J10" s="21">
        <v>0.22159090638160706</v>
      </c>
      <c r="K10" s="21">
        <v>0.80000001192092896</v>
      </c>
      <c r="L10" s="2" t="s">
        <v>24</v>
      </c>
      <c r="M10" s="2"/>
      <c r="N10" s="2"/>
      <c r="O10" s="2"/>
      <c r="P10" s="2"/>
      <c r="Q10" s="2"/>
      <c r="R10" s="2"/>
      <c r="S10" s="2"/>
      <c r="T10" s="2"/>
      <c r="U10" s="2"/>
      <c r="V10" s="2"/>
      <c r="W10" s="2"/>
      <c r="X10" s="2"/>
      <c r="Y10" s="2"/>
      <c r="Z10" s="2"/>
    </row>
    <row r="11" spans="1:26" ht="12.75" customHeight="1" x14ac:dyDescent="0.25">
      <c r="A11" s="2" t="s">
        <v>27</v>
      </c>
      <c r="B11" s="26">
        <v>6.0105419158935547</v>
      </c>
      <c r="C11" s="21">
        <v>0.56310677528381348</v>
      </c>
      <c r="D11" s="21">
        <v>0.33962264657020569</v>
      </c>
      <c r="E11" s="21">
        <v>0.58095240592956543</v>
      </c>
      <c r="F11" s="21">
        <v>0.80000001192092896</v>
      </c>
      <c r="G11" s="21">
        <v>0.77358490228652954</v>
      </c>
      <c r="H11" s="21">
        <v>0.63809525966644287</v>
      </c>
      <c r="I11" s="21">
        <v>0.77358490228652954</v>
      </c>
      <c r="J11" s="21">
        <v>0.40999999642372131</v>
      </c>
      <c r="K11" s="21">
        <v>0.70192307233810425</v>
      </c>
      <c r="L11" s="2" t="s">
        <v>24</v>
      </c>
      <c r="M11" s="2"/>
      <c r="N11" s="2"/>
      <c r="O11" s="2"/>
      <c r="P11" s="2"/>
      <c r="Q11" s="2"/>
      <c r="R11" s="2"/>
      <c r="S11" s="2"/>
      <c r="T11" s="2"/>
      <c r="U11" s="2"/>
      <c r="V11" s="2"/>
      <c r="W11" s="2"/>
      <c r="X11" s="2"/>
      <c r="Y11" s="2"/>
      <c r="Z11" s="2"/>
    </row>
    <row r="12" spans="1:26" ht="12.75" customHeight="1" x14ac:dyDescent="0.25">
      <c r="A12" s="2" t="s">
        <v>28</v>
      </c>
      <c r="B12" s="26">
        <v>6.7060418128967285</v>
      </c>
      <c r="C12" s="21">
        <v>0.59433960914611816</v>
      </c>
      <c r="D12" s="21">
        <v>0.22429905831813812</v>
      </c>
      <c r="E12" s="21">
        <v>0.32110092043876648</v>
      </c>
      <c r="F12" s="21">
        <v>0.8165137767791748</v>
      </c>
      <c r="G12" s="21">
        <v>0.75229358673095703</v>
      </c>
      <c r="H12" s="21">
        <v>0.52293580770492554</v>
      </c>
      <c r="I12" s="21">
        <v>0.76363635063171387</v>
      </c>
      <c r="J12" s="21">
        <v>0.4038461446762085</v>
      </c>
      <c r="K12" s="21">
        <v>0.74074071645736694</v>
      </c>
      <c r="L12" s="2" t="s">
        <v>26</v>
      </c>
      <c r="M12" s="2"/>
      <c r="N12" s="2"/>
      <c r="O12" s="2"/>
      <c r="P12" s="2"/>
      <c r="Q12" s="2"/>
      <c r="R12" s="2"/>
      <c r="S12" s="2"/>
      <c r="T12" s="2"/>
      <c r="U12" s="2"/>
      <c r="V12" s="2"/>
      <c r="W12" s="2"/>
      <c r="X12" s="2"/>
      <c r="Y12" s="2"/>
      <c r="Z12" s="2"/>
    </row>
    <row r="13" spans="1:26" ht="12.75" customHeight="1" x14ac:dyDescent="0.25">
      <c r="A13" s="2" t="s">
        <v>30</v>
      </c>
      <c r="B13" s="26">
        <v>6.6606836318969727</v>
      </c>
      <c r="C13" s="21">
        <v>0.56034481525421143</v>
      </c>
      <c r="D13" s="21">
        <v>0.30701753497123718</v>
      </c>
      <c r="E13" s="21">
        <v>0.37068966031074524</v>
      </c>
      <c r="F13" s="21">
        <v>0.8017241358757019</v>
      </c>
      <c r="G13" s="21">
        <v>0.75862067937850952</v>
      </c>
      <c r="H13" s="21">
        <v>0.40517240762710571</v>
      </c>
      <c r="I13" s="21">
        <v>0.76271188259124756</v>
      </c>
      <c r="J13" s="21">
        <v>0.51327431201934814</v>
      </c>
      <c r="K13" s="21">
        <v>0.71681416034698486</v>
      </c>
      <c r="L13" s="2" t="s">
        <v>15</v>
      </c>
      <c r="M13" s="2"/>
      <c r="N13" s="2"/>
      <c r="O13" s="2"/>
      <c r="P13" s="2"/>
      <c r="Q13" s="2"/>
      <c r="R13" s="2"/>
      <c r="S13" s="2"/>
      <c r="T13" s="2"/>
      <c r="U13" s="2"/>
      <c r="V13" s="2"/>
      <c r="W13" s="2"/>
      <c r="X13" s="2"/>
      <c r="Y13" s="2"/>
      <c r="Z13" s="2"/>
    </row>
    <row r="14" spans="1:26" ht="12.75" customHeight="1" x14ac:dyDescent="0.25">
      <c r="A14" s="2" t="s">
        <v>32</v>
      </c>
      <c r="B14" s="26">
        <v>6.0443315505981445</v>
      </c>
      <c r="C14" s="21">
        <v>0.5517241358757019</v>
      </c>
      <c r="D14" s="21">
        <v>0.34693878889083862</v>
      </c>
      <c r="E14" s="21">
        <v>0.26896551251411438</v>
      </c>
      <c r="F14" s="21">
        <v>0.634482741355896</v>
      </c>
      <c r="G14" s="21">
        <v>0.58620691299438477</v>
      </c>
      <c r="H14" s="21">
        <v>0.33103448152542114</v>
      </c>
      <c r="I14" s="21">
        <v>0.63513511419296265</v>
      </c>
      <c r="J14" s="21">
        <v>0.52142858505249023</v>
      </c>
      <c r="K14" s="21">
        <v>0.59154927730560303</v>
      </c>
      <c r="L14" s="2" t="s">
        <v>15</v>
      </c>
      <c r="M14" s="2"/>
      <c r="N14" s="2"/>
      <c r="O14" s="2"/>
      <c r="P14" s="2"/>
      <c r="Q14" s="2"/>
      <c r="R14" s="2"/>
      <c r="S14" s="2"/>
      <c r="T14" s="2"/>
      <c r="U14" s="2"/>
      <c r="V14" s="2"/>
      <c r="W14" s="2"/>
      <c r="X14" s="2"/>
      <c r="Y14" s="2"/>
      <c r="Z14" s="2"/>
    </row>
    <row r="15" spans="1:26" ht="12.75" customHeight="1" x14ac:dyDescent="0.25">
      <c r="A15" s="2" t="s">
        <v>31</v>
      </c>
      <c r="B15" s="26">
        <v>5.9856634140014648</v>
      </c>
      <c r="C15" s="21">
        <v>0.54954952001571655</v>
      </c>
      <c r="D15" s="21">
        <v>0.35087719559669495</v>
      </c>
      <c r="E15" s="21">
        <v>0.41228070855140686</v>
      </c>
      <c r="F15" s="21">
        <v>0.69298243522644043</v>
      </c>
      <c r="G15" s="21">
        <v>0.65789473056793213</v>
      </c>
      <c r="H15" s="21">
        <v>0.45614033937454224</v>
      </c>
      <c r="I15" s="21">
        <v>0.67543858289718628</v>
      </c>
      <c r="J15" s="21">
        <v>0.54054051637649536</v>
      </c>
      <c r="K15" s="21">
        <v>0.60377359390258789</v>
      </c>
      <c r="L15" s="2" t="s">
        <v>18</v>
      </c>
      <c r="M15" s="2"/>
      <c r="N15" s="2"/>
      <c r="O15" s="2"/>
      <c r="P15" s="2"/>
      <c r="Q15" s="2"/>
      <c r="R15" s="2"/>
      <c r="S15" s="2"/>
      <c r="T15" s="2"/>
      <c r="U15" s="2"/>
      <c r="V15" s="2"/>
      <c r="W15" s="2"/>
      <c r="X15" s="2"/>
      <c r="Y15" s="2"/>
      <c r="Z15" s="2"/>
    </row>
    <row r="16" spans="1:26" ht="12.75" customHeight="1" x14ac:dyDescent="0.25">
      <c r="A16" s="2" t="s">
        <v>33</v>
      </c>
      <c r="B16" s="26">
        <v>6.326934814453125</v>
      </c>
      <c r="C16" s="21">
        <v>0.60112357139587402</v>
      </c>
      <c r="D16" s="21">
        <v>0.32203391194343567</v>
      </c>
      <c r="E16" s="21">
        <v>0.34444445371627808</v>
      </c>
      <c r="F16" s="21">
        <v>0.82777780294418335</v>
      </c>
      <c r="G16" s="21">
        <v>0.76666665077209473</v>
      </c>
      <c r="H16" s="21">
        <v>0.58888888359069824</v>
      </c>
      <c r="I16" s="21">
        <v>0.73513513803482056</v>
      </c>
      <c r="J16" s="21">
        <v>0.35087719559669495</v>
      </c>
      <c r="K16" s="21">
        <v>0.67441862821578979</v>
      </c>
      <c r="L16" s="2" t="s">
        <v>26</v>
      </c>
      <c r="M16" s="2"/>
      <c r="N16" s="2"/>
      <c r="O16" s="2"/>
      <c r="P16" s="2"/>
      <c r="Q16" s="2"/>
      <c r="R16" s="2"/>
      <c r="S16" s="2"/>
      <c r="T16" s="2"/>
      <c r="U16" s="2"/>
      <c r="V16" s="2"/>
      <c r="W16" s="2"/>
      <c r="X16" s="2"/>
      <c r="Y16" s="2"/>
      <c r="Z16" s="2"/>
    </row>
    <row r="17" spans="1:26" ht="12.75" customHeight="1" x14ac:dyDescent="0.25">
      <c r="A17" s="2" t="s">
        <v>34</v>
      </c>
      <c r="B17" s="26">
        <v>6.1260647773742676</v>
      </c>
      <c r="C17" s="21">
        <v>0.46666666865348816</v>
      </c>
      <c r="D17" s="21">
        <v>0.29729729890823364</v>
      </c>
      <c r="E17" s="21">
        <v>0.3815789520740509</v>
      </c>
      <c r="F17" s="21">
        <v>0.73026317358016968</v>
      </c>
      <c r="G17" s="21">
        <v>0.625</v>
      </c>
      <c r="H17" s="21">
        <v>0.44736841320991516</v>
      </c>
      <c r="I17" s="21">
        <v>0.7225806713104248</v>
      </c>
      <c r="J17" s="21">
        <v>0.53289473056793213</v>
      </c>
      <c r="K17" s="21">
        <v>0.6689189076423645</v>
      </c>
      <c r="L17" s="2" t="s">
        <v>35</v>
      </c>
      <c r="M17" s="2"/>
      <c r="N17" s="2"/>
      <c r="O17" s="2"/>
      <c r="P17" s="2"/>
      <c r="Q17" s="2"/>
      <c r="R17" s="2"/>
      <c r="S17" s="2"/>
      <c r="T17" s="2"/>
      <c r="U17" s="2"/>
      <c r="V17" s="2"/>
      <c r="W17" s="2"/>
      <c r="X17" s="2"/>
      <c r="Y17" s="2"/>
      <c r="Z17" s="2"/>
    </row>
    <row r="18" spans="1:26" ht="12.75" customHeight="1" x14ac:dyDescent="0.25">
      <c r="A18" s="2" t="s">
        <v>36</v>
      </c>
      <c r="B18" s="26">
        <v>6.3529071807861328</v>
      </c>
      <c r="C18" s="21">
        <v>0.50485438108444214</v>
      </c>
      <c r="D18" s="21">
        <v>0.27184465527534485</v>
      </c>
      <c r="E18" s="21">
        <v>0.35576921701431274</v>
      </c>
      <c r="F18" s="21">
        <v>0.69230771064758301</v>
      </c>
      <c r="G18" s="21">
        <v>0.64423078298568726</v>
      </c>
      <c r="H18" s="21">
        <v>0.375</v>
      </c>
      <c r="I18" s="21">
        <v>0.7788461446762085</v>
      </c>
      <c r="J18" s="21">
        <v>0.5544554591178894</v>
      </c>
      <c r="K18" s="21">
        <v>0.63999998569488525</v>
      </c>
      <c r="L18" s="2" t="s">
        <v>35</v>
      </c>
      <c r="M18" s="2"/>
      <c r="N18" s="2"/>
      <c r="O18" s="2"/>
      <c r="P18" s="2"/>
      <c r="Q18" s="2"/>
      <c r="R18" s="2"/>
      <c r="S18" s="2"/>
      <c r="T18" s="2"/>
      <c r="U18" s="2"/>
      <c r="V18" s="2"/>
      <c r="W18" s="2"/>
      <c r="X18" s="2"/>
      <c r="Y18" s="2"/>
      <c r="Z18" s="2"/>
    </row>
    <row r="19" spans="1:26" ht="12.75" customHeight="1" x14ac:dyDescent="0.25">
      <c r="A19" s="2" t="s">
        <v>37</v>
      </c>
      <c r="B19" s="26">
        <v>6.7524838447570801</v>
      </c>
      <c r="C19" s="21">
        <v>0.60150372982025146</v>
      </c>
      <c r="D19" s="21">
        <v>0.33834585547447205</v>
      </c>
      <c r="E19" s="21">
        <v>0.29104477167129517</v>
      </c>
      <c r="F19" s="21">
        <v>0.76865673065185547</v>
      </c>
      <c r="G19" s="21">
        <v>0.70895522832870483</v>
      </c>
      <c r="H19" s="21">
        <v>0.30597016215324402</v>
      </c>
      <c r="I19" s="21">
        <v>0.78518515825271606</v>
      </c>
      <c r="J19" s="21">
        <v>0.46511629223823547</v>
      </c>
      <c r="K19" s="21">
        <v>0.74015748500823975</v>
      </c>
      <c r="L19" s="2" t="s">
        <v>18</v>
      </c>
      <c r="M19" s="2"/>
      <c r="N19" s="2"/>
      <c r="O19" s="2"/>
      <c r="P19" s="2"/>
      <c r="Q19" s="2"/>
      <c r="R19" s="2"/>
      <c r="S19" s="2"/>
      <c r="T19" s="2"/>
      <c r="U19" s="2"/>
      <c r="V19" s="2"/>
      <c r="W19" s="2"/>
      <c r="X19" s="2"/>
      <c r="Y19" s="2"/>
      <c r="Z19" s="2"/>
    </row>
    <row r="20" spans="1:26" ht="12.75" customHeight="1" x14ac:dyDescent="0.25">
      <c r="A20" s="2" t="s">
        <v>38</v>
      </c>
      <c r="B20" s="26">
        <v>5.5713820457458496</v>
      </c>
      <c r="C20" s="21">
        <v>0.53987729549407959</v>
      </c>
      <c r="D20" s="21">
        <v>0.26543208956718445</v>
      </c>
      <c r="E20" s="21">
        <v>0.56097561120986938</v>
      </c>
      <c r="F20" s="21">
        <v>0.65853661298751831</v>
      </c>
      <c r="G20" s="21">
        <v>0.63414633274078369</v>
      </c>
      <c r="H20" s="21">
        <v>0.57926827669143677</v>
      </c>
      <c r="I20" s="21">
        <v>0.6303030252456665</v>
      </c>
      <c r="J20" s="21">
        <v>0.39130434393882751</v>
      </c>
      <c r="K20" s="21">
        <v>0.63924050331115723</v>
      </c>
      <c r="L20" s="2" t="s">
        <v>24</v>
      </c>
      <c r="M20" s="2"/>
      <c r="N20" s="2"/>
      <c r="O20" s="2"/>
      <c r="P20" s="2"/>
      <c r="Q20" s="2"/>
      <c r="R20" s="2"/>
      <c r="S20" s="2"/>
      <c r="T20" s="2"/>
      <c r="U20" s="2"/>
      <c r="V20" s="2"/>
      <c r="W20" s="2"/>
      <c r="X20" s="2"/>
      <c r="Y20" s="2"/>
      <c r="Z20" s="2"/>
    </row>
    <row r="21" spans="1:26" ht="12.75" customHeight="1" x14ac:dyDescent="0.25">
      <c r="A21" s="2" t="s">
        <v>39</v>
      </c>
      <c r="B21" s="26">
        <v>6.3655266761779785</v>
      </c>
      <c r="C21" s="21">
        <v>0.58407080173492432</v>
      </c>
      <c r="D21" s="21">
        <v>0.25</v>
      </c>
      <c r="E21" s="21">
        <v>0.5</v>
      </c>
      <c r="F21" s="21">
        <v>0.75862067937850952</v>
      </c>
      <c r="G21" s="21">
        <v>0.72413790225982666</v>
      </c>
      <c r="H21" s="21">
        <v>0.50862067937850952</v>
      </c>
      <c r="I21" s="21">
        <v>0.80508476495742798</v>
      </c>
      <c r="J21" s="21">
        <v>0.45614033937454224</v>
      </c>
      <c r="K21" s="21">
        <v>0.67567569017410278</v>
      </c>
      <c r="L21" s="2" t="s">
        <v>15</v>
      </c>
      <c r="M21" s="2"/>
      <c r="N21" s="2"/>
      <c r="O21" s="2"/>
      <c r="P21" s="2"/>
      <c r="Q21" s="2"/>
      <c r="R21" s="2"/>
      <c r="S21" s="2"/>
      <c r="T21" s="2"/>
      <c r="U21" s="2"/>
      <c r="V21" s="2"/>
      <c r="W21" s="2"/>
      <c r="X21" s="2"/>
      <c r="Y21" s="2"/>
      <c r="Z21" s="2"/>
    </row>
    <row r="22" spans="1:26" ht="12.75" customHeight="1" x14ac:dyDescent="0.25">
      <c r="A22" s="2" t="s">
        <v>40</v>
      </c>
      <c r="B22" s="26">
        <v>5.5427389144897461</v>
      </c>
      <c r="C22" s="21">
        <v>0.53278690576553345</v>
      </c>
      <c r="D22" s="21">
        <v>0.32786884903907776</v>
      </c>
      <c r="E22" s="21">
        <v>0.62809920310974121</v>
      </c>
      <c r="F22" s="21">
        <v>0.71900826692581177</v>
      </c>
      <c r="G22" s="21">
        <v>0.67768597602844238</v>
      </c>
      <c r="H22" s="21">
        <v>0.57024794816970825</v>
      </c>
      <c r="I22" s="21">
        <v>0.72131145000457764</v>
      </c>
      <c r="J22" s="21">
        <v>0.34482759237289429</v>
      </c>
      <c r="K22" s="21">
        <v>0.59829062223434448</v>
      </c>
      <c r="L22" s="2" t="s">
        <v>35</v>
      </c>
      <c r="M22" s="2"/>
      <c r="N22" s="2"/>
      <c r="O22" s="2"/>
      <c r="P22" s="2"/>
      <c r="Q22" s="2"/>
      <c r="R22" s="2"/>
      <c r="S22" s="2"/>
      <c r="T22" s="2"/>
      <c r="U22" s="2"/>
      <c r="V22" s="2"/>
      <c r="W22" s="2"/>
      <c r="X22" s="2"/>
      <c r="Y22" s="2"/>
      <c r="Z22" s="2"/>
    </row>
    <row r="23" spans="1:26" ht="12.75" customHeight="1" x14ac:dyDescent="0.25">
      <c r="A23" s="2" t="s">
        <v>76</v>
      </c>
      <c r="B23" s="26">
        <v>6.4864792823791504</v>
      </c>
      <c r="C23" s="21">
        <v>0.47837150096893311</v>
      </c>
      <c r="D23" s="21">
        <v>0.22506393492221832</v>
      </c>
      <c r="E23" s="21">
        <v>0.39743590354919434</v>
      </c>
      <c r="F23" s="21">
        <v>0.76153844594955444</v>
      </c>
      <c r="G23" s="21">
        <v>0.66410255432128906</v>
      </c>
      <c r="H23" s="21">
        <v>0.46666666865348816</v>
      </c>
      <c r="I23" s="21">
        <v>0.81155776977539063</v>
      </c>
      <c r="J23" s="21">
        <v>0.51041668653488159</v>
      </c>
      <c r="K23" s="21">
        <v>0.75718015432357788</v>
      </c>
      <c r="L23" s="2" t="s">
        <v>24</v>
      </c>
      <c r="M23" s="2"/>
      <c r="N23" s="2"/>
      <c r="O23" s="2"/>
      <c r="P23" s="2"/>
      <c r="Q23" s="2"/>
      <c r="R23" s="2"/>
      <c r="S23" s="2"/>
      <c r="T23" s="2"/>
      <c r="U23" s="2"/>
      <c r="V23" s="2"/>
      <c r="W23" s="2"/>
      <c r="X23" s="2"/>
      <c r="Y23" s="2"/>
      <c r="Z23" s="2"/>
    </row>
    <row r="24" spans="1:26" ht="12.75" customHeight="1" x14ac:dyDescent="0.25">
      <c r="A24" s="2" t="s">
        <v>41</v>
      </c>
      <c r="B24" s="26">
        <v>6.2405009269714355</v>
      </c>
      <c r="C24" s="21">
        <v>0.58585858345031738</v>
      </c>
      <c r="D24" s="21">
        <v>0.21212121844291687</v>
      </c>
      <c r="E24" s="21">
        <v>0.51485151052474976</v>
      </c>
      <c r="F24" s="21">
        <v>0.79207921028137207</v>
      </c>
      <c r="G24" s="21">
        <v>0.70297032594680786</v>
      </c>
      <c r="H24" s="21">
        <v>0.59405940771102905</v>
      </c>
      <c r="I24" s="21">
        <v>0.69902914762496948</v>
      </c>
      <c r="J24" s="21">
        <v>0.4444444477558136</v>
      </c>
      <c r="K24" s="21">
        <v>0.68686866760253906</v>
      </c>
      <c r="L24" s="2" t="s">
        <v>18</v>
      </c>
      <c r="M24" s="2"/>
      <c r="N24" s="2"/>
      <c r="O24" s="2"/>
      <c r="P24" s="2"/>
      <c r="Q24" s="2"/>
      <c r="R24" s="2"/>
      <c r="S24" s="2"/>
      <c r="T24" s="2"/>
      <c r="U24" s="2"/>
      <c r="V24" s="2"/>
      <c r="W24" s="2"/>
      <c r="X24" s="2"/>
      <c r="Y24" s="2"/>
      <c r="Z24" s="2"/>
    </row>
    <row r="25" spans="1:26" ht="12.75" customHeight="1" x14ac:dyDescent="0.25">
      <c r="A25" s="2" t="s">
        <v>42</v>
      </c>
      <c r="B25" s="26">
        <v>6.3339834213256836</v>
      </c>
      <c r="C25" s="21">
        <v>0.4649122953414917</v>
      </c>
      <c r="D25" s="21">
        <v>0.1696428507566452</v>
      </c>
      <c r="E25" s="21">
        <v>0.32456141710281372</v>
      </c>
      <c r="F25" s="21">
        <v>0.81578946113586426</v>
      </c>
      <c r="G25" s="21">
        <v>0.78947371244430542</v>
      </c>
      <c r="H25" s="21">
        <v>0.73684209585189819</v>
      </c>
      <c r="I25" s="21">
        <v>0.82905983924865723</v>
      </c>
      <c r="J25" s="21">
        <v>0.22807016968727112</v>
      </c>
      <c r="K25" s="21">
        <v>0.78571426868438721</v>
      </c>
      <c r="L25" s="2" t="s">
        <v>21</v>
      </c>
      <c r="M25" s="2"/>
      <c r="N25" s="2"/>
      <c r="O25" s="2"/>
      <c r="P25" s="2"/>
      <c r="Q25" s="2"/>
      <c r="R25" s="2"/>
      <c r="S25" s="2"/>
      <c r="T25" s="2"/>
      <c r="U25" s="2"/>
      <c r="V25" s="2"/>
      <c r="W25" s="2"/>
      <c r="X25" s="2"/>
      <c r="Y25" s="2"/>
      <c r="Z25" s="2"/>
    </row>
    <row r="26" spans="1:26" ht="12.75" customHeight="1" x14ac:dyDescent="0.25">
      <c r="A26" s="2" t="s">
        <v>43</v>
      </c>
      <c r="B26" s="26">
        <v>6.0161027908325195</v>
      </c>
      <c r="C26" s="21">
        <v>0.44108760356903076</v>
      </c>
      <c r="D26" s="21">
        <v>0.2393939346075058</v>
      </c>
      <c r="E26" s="21">
        <v>0.32537314295768738</v>
      </c>
      <c r="F26" s="21">
        <v>0.77313435077667236</v>
      </c>
      <c r="G26" s="21">
        <v>0.72238808870315552</v>
      </c>
      <c r="H26" s="21">
        <v>0.66268658638000488</v>
      </c>
      <c r="I26" s="21">
        <v>0.76315790414810181</v>
      </c>
      <c r="J26" s="21">
        <v>0.25925925374031067</v>
      </c>
      <c r="K26" s="21">
        <v>0.72865855693817139</v>
      </c>
      <c r="L26" s="2" t="s">
        <v>21</v>
      </c>
      <c r="M26" s="2"/>
      <c r="N26" s="2"/>
      <c r="O26" s="2"/>
      <c r="P26" s="2"/>
      <c r="Q26" s="2"/>
      <c r="R26" s="2"/>
      <c r="S26" s="2"/>
      <c r="T26" s="2"/>
      <c r="U26" s="2"/>
      <c r="V26" s="2"/>
      <c r="W26" s="2"/>
      <c r="X26" s="2"/>
      <c r="Y26" s="2"/>
      <c r="Z26" s="2"/>
    </row>
    <row r="27" spans="1:26" ht="12.75" customHeight="1" x14ac:dyDescent="0.25">
      <c r="A27" s="2" t="s">
        <v>44</v>
      </c>
      <c r="B27" s="26">
        <v>5.7868175506591797</v>
      </c>
      <c r="C27" s="21">
        <v>0.61417323350906372</v>
      </c>
      <c r="D27" s="21">
        <v>0.3333333432674408</v>
      </c>
      <c r="E27" s="21">
        <v>0.4365079402923584</v>
      </c>
      <c r="F27" s="21">
        <v>0.6269841194152832</v>
      </c>
      <c r="G27" s="21">
        <v>0.6746031641960144</v>
      </c>
      <c r="H27" s="21">
        <v>0.4444444477558136</v>
      </c>
      <c r="I27" s="21">
        <v>0.578125</v>
      </c>
      <c r="J27" s="21">
        <v>0.45901638269424438</v>
      </c>
      <c r="K27" s="21">
        <v>0.55555558204650879</v>
      </c>
      <c r="L27" s="2" t="s">
        <v>26</v>
      </c>
      <c r="M27" s="2"/>
      <c r="N27" s="2"/>
      <c r="O27" s="2"/>
      <c r="P27" s="2"/>
      <c r="Q27" s="2"/>
      <c r="R27" s="2"/>
      <c r="S27" s="2"/>
      <c r="T27" s="2"/>
      <c r="U27" s="2"/>
      <c r="V27" s="2"/>
      <c r="W27" s="2"/>
      <c r="X27" s="2"/>
      <c r="Y27" s="2"/>
      <c r="Z27" s="2"/>
    </row>
    <row r="28" spans="1:26" ht="12.75" customHeight="1" x14ac:dyDescent="0.25">
      <c r="A28" s="2" t="s">
        <v>45</v>
      </c>
      <c r="B28" s="26">
        <v>6.754086971282959</v>
      </c>
      <c r="C28" s="21">
        <v>0.43292683362960815</v>
      </c>
      <c r="D28" s="21">
        <v>0.257485032081604</v>
      </c>
      <c r="E28" s="21">
        <v>0.35329341888427734</v>
      </c>
      <c r="F28" s="21">
        <v>0.82634729146957397</v>
      </c>
      <c r="G28" s="21">
        <v>0.74850296974182129</v>
      </c>
      <c r="H28" s="21">
        <v>0.35928145051002502</v>
      </c>
      <c r="I28" s="21">
        <v>0.82352942228317261</v>
      </c>
      <c r="J28" s="21">
        <v>0.50303030014038086</v>
      </c>
      <c r="K28" s="21">
        <v>0.76073616743087769</v>
      </c>
      <c r="L28" s="2" t="s">
        <v>21</v>
      </c>
      <c r="M28" s="2"/>
      <c r="N28" s="2"/>
      <c r="O28" s="2"/>
      <c r="P28" s="2"/>
      <c r="Q28" s="2"/>
      <c r="R28" s="2"/>
      <c r="S28" s="2"/>
      <c r="T28" s="2"/>
      <c r="U28" s="2"/>
      <c r="V28" s="2"/>
      <c r="W28" s="2"/>
      <c r="X28" s="2"/>
      <c r="Y28" s="2"/>
      <c r="Z28" s="2"/>
    </row>
    <row r="29" spans="1:26" ht="12.75" customHeight="1" x14ac:dyDescent="0.25">
      <c r="A29" s="2" t="s">
        <v>46</v>
      </c>
      <c r="B29" s="26">
        <v>7.394953727722168</v>
      </c>
      <c r="C29" s="21">
        <v>0.68862277269363403</v>
      </c>
      <c r="D29" s="21">
        <v>0.13372093439102173</v>
      </c>
      <c r="E29" s="21">
        <v>0.28323698043823242</v>
      </c>
      <c r="F29" s="21">
        <v>0.84393066167831421</v>
      </c>
      <c r="G29" s="21">
        <v>0.80924856662750244</v>
      </c>
      <c r="H29" s="21">
        <v>0.46242773532867432</v>
      </c>
      <c r="I29" s="21">
        <v>0.7701149582862854</v>
      </c>
      <c r="J29" s="21">
        <v>0.44378697872161865</v>
      </c>
      <c r="K29" s="21">
        <v>0.85294115543365479</v>
      </c>
      <c r="L29" s="2" t="s">
        <v>21</v>
      </c>
      <c r="M29" s="2"/>
      <c r="N29" s="2"/>
      <c r="O29" s="2"/>
      <c r="P29" s="2"/>
      <c r="Q29" s="2"/>
      <c r="R29" s="2"/>
      <c r="S29" s="2"/>
      <c r="T29" s="2"/>
      <c r="U29" s="2"/>
      <c r="V29" s="2"/>
      <c r="W29" s="2"/>
      <c r="X29" s="2"/>
      <c r="Y29" s="2"/>
      <c r="Z29" s="2"/>
    </row>
    <row r="30" spans="1:26" ht="12.75" customHeight="1" x14ac:dyDescent="0.25">
      <c r="A30" s="2" t="s">
        <v>47</v>
      </c>
      <c r="B30" s="26">
        <v>6.9405684471130371</v>
      </c>
      <c r="C30" s="21">
        <v>0.7010309100151062</v>
      </c>
      <c r="D30" s="21">
        <v>0.14141413569450378</v>
      </c>
      <c r="E30" s="21">
        <v>0.72448980808258057</v>
      </c>
      <c r="F30" s="21">
        <v>0.90816324949264526</v>
      </c>
      <c r="G30" s="21">
        <v>0.8571428656578064</v>
      </c>
      <c r="H30" s="21">
        <v>0.72448980808258057</v>
      </c>
      <c r="I30" s="21">
        <v>0.81999999284744263</v>
      </c>
      <c r="J30" s="21">
        <v>0.53763443231582642</v>
      </c>
      <c r="K30" s="21">
        <v>0.87755101919174194</v>
      </c>
      <c r="L30" s="2" t="s">
        <v>15</v>
      </c>
      <c r="M30" s="2"/>
      <c r="N30" s="2"/>
      <c r="O30" s="2"/>
      <c r="P30" s="2"/>
      <c r="Q30" s="2"/>
      <c r="R30" s="2"/>
      <c r="S30" s="2"/>
      <c r="T30" s="2"/>
      <c r="U30" s="2"/>
      <c r="V30" s="2"/>
      <c r="W30" s="2"/>
      <c r="X30" s="2"/>
      <c r="Y30" s="2"/>
      <c r="Z30" s="2"/>
    </row>
    <row r="31" spans="1:26" ht="12.75" customHeight="1" x14ac:dyDescent="0.25">
      <c r="A31" s="2" t="s">
        <v>48</v>
      </c>
      <c r="B31" s="26">
        <v>5.940305233001709</v>
      </c>
      <c r="C31" s="21">
        <v>0.44660192728042603</v>
      </c>
      <c r="D31" s="21">
        <v>0.28846153616905212</v>
      </c>
      <c r="E31" s="21">
        <v>0.41747573018074036</v>
      </c>
      <c r="F31" s="21">
        <v>0.70873785018920898</v>
      </c>
      <c r="G31" s="21">
        <v>0.61165046691894531</v>
      </c>
      <c r="H31" s="21">
        <v>0.55339807271957397</v>
      </c>
      <c r="I31" s="21">
        <v>0.79047620296478271</v>
      </c>
      <c r="J31" s="21">
        <v>0.4554455578327179</v>
      </c>
      <c r="K31" s="21">
        <v>0.72277230024337769</v>
      </c>
      <c r="L31" s="2" t="s">
        <v>18</v>
      </c>
      <c r="M31" s="2"/>
      <c r="N31" s="2"/>
      <c r="O31" s="2"/>
      <c r="P31" s="2"/>
      <c r="Q31" s="2"/>
      <c r="R31" s="2"/>
      <c r="S31" s="2"/>
      <c r="T31" s="2"/>
      <c r="U31" s="2"/>
      <c r="V31" s="2"/>
      <c r="W31" s="2"/>
      <c r="X31" s="2"/>
      <c r="Y31" s="2"/>
      <c r="Z31" s="2"/>
    </row>
    <row r="32" spans="1:26" ht="12.75" customHeight="1" x14ac:dyDescent="0.25">
      <c r="A32" s="2" t="s">
        <v>49</v>
      </c>
      <c r="B32" s="26">
        <v>6.8713736534118652</v>
      </c>
      <c r="C32" s="21">
        <v>0.55072462558746338</v>
      </c>
      <c r="D32" s="21">
        <v>0.15107913315296173</v>
      </c>
      <c r="E32" s="21">
        <v>0.38571429252624512</v>
      </c>
      <c r="F32" s="21">
        <v>0.77857142686843872</v>
      </c>
      <c r="G32" s="21">
        <v>0.72142857313156128</v>
      </c>
      <c r="H32" s="21">
        <v>0.52142858505249023</v>
      </c>
      <c r="I32" s="21">
        <v>0.80851066112518311</v>
      </c>
      <c r="J32" s="21">
        <v>0.51449275016784668</v>
      </c>
      <c r="K32" s="21">
        <v>0.85401457548141479</v>
      </c>
      <c r="L32" s="2" t="s">
        <v>21</v>
      </c>
      <c r="M32" s="2"/>
      <c r="N32" s="2"/>
      <c r="O32" s="2"/>
      <c r="P32" s="2"/>
      <c r="Q32" s="2"/>
      <c r="R32" s="2"/>
      <c r="S32" s="2"/>
      <c r="T32" s="2"/>
      <c r="U32" s="2"/>
      <c r="V32" s="2"/>
      <c r="W32" s="2"/>
      <c r="X32" s="2"/>
      <c r="Y32" s="2"/>
      <c r="Z32" s="2"/>
    </row>
    <row r="33" spans="1:26" ht="12.75" customHeight="1" x14ac:dyDescent="0.25">
      <c r="A33" s="2" t="s">
        <v>50</v>
      </c>
      <c r="B33" s="26">
        <v>6.0628409385681152</v>
      </c>
      <c r="C33" s="21">
        <v>0.63779526948928833</v>
      </c>
      <c r="D33" s="21">
        <v>0.2380952388048172</v>
      </c>
      <c r="E33" s="21">
        <v>0.640625</v>
      </c>
      <c r="F33" s="21">
        <v>0.796875</v>
      </c>
      <c r="G33" s="21">
        <v>0.7109375</v>
      </c>
      <c r="H33" s="21">
        <v>0.6328125</v>
      </c>
      <c r="I33" s="21">
        <v>0.67692309617996216</v>
      </c>
      <c r="J33" s="21">
        <v>0.4841269850730896</v>
      </c>
      <c r="K33" s="21">
        <v>0.62601625919342041</v>
      </c>
      <c r="L33" s="2" t="s">
        <v>26</v>
      </c>
      <c r="M33" s="2"/>
      <c r="N33" s="2"/>
      <c r="O33" s="2"/>
      <c r="P33" s="2"/>
      <c r="Q33" s="2"/>
      <c r="R33" s="2"/>
      <c r="S33" s="2"/>
      <c r="T33" s="2"/>
      <c r="U33" s="2"/>
      <c r="V33" s="2"/>
      <c r="W33" s="2"/>
      <c r="X33" s="2"/>
      <c r="Y33" s="2"/>
      <c r="Z33" s="2"/>
    </row>
    <row r="34" spans="1:26" ht="12.75" customHeight="1" x14ac:dyDescent="0.25">
      <c r="A34" s="2" t="s">
        <v>51</v>
      </c>
      <c r="B34" s="26">
        <v>5.4284629821777344</v>
      </c>
      <c r="C34" s="21">
        <v>0.28333333134651184</v>
      </c>
      <c r="D34" s="21">
        <v>0.28333333134651184</v>
      </c>
      <c r="E34" s="21">
        <v>0.60833334922790527</v>
      </c>
      <c r="F34" s="21">
        <v>0.68333333730697632</v>
      </c>
      <c r="G34" s="21">
        <v>0.69166666269302368</v>
      </c>
      <c r="H34" s="21">
        <v>0.60833334922790527</v>
      </c>
      <c r="I34" s="21">
        <v>0.76666665077209473</v>
      </c>
      <c r="J34" s="21">
        <v>0.43697479367256165</v>
      </c>
      <c r="K34" s="21">
        <v>0.70338982343673706</v>
      </c>
      <c r="L34" s="2" t="s">
        <v>15</v>
      </c>
      <c r="M34" s="2"/>
      <c r="N34" s="2"/>
      <c r="O34" s="2"/>
      <c r="P34" s="2"/>
      <c r="Q34" s="2"/>
      <c r="R34" s="2"/>
      <c r="S34" s="2"/>
      <c r="T34" s="2"/>
      <c r="U34" s="2"/>
      <c r="V34" s="2"/>
      <c r="W34" s="2"/>
      <c r="X34" s="2"/>
      <c r="Y34" s="2"/>
      <c r="Z34" s="2"/>
    </row>
    <row r="35" spans="1:26" ht="12.75" customHeight="1" x14ac:dyDescent="0.25">
      <c r="A35" s="2" t="s">
        <v>52</v>
      </c>
      <c r="B35" s="26">
        <v>6.1189799308776855</v>
      </c>
      <c r="C35" s="21">
        <v>0.52999997138977051</v>
      </c>
      <c r="D35" s="21">
        <v>0.29591837525367737</v>
      </c>
      <c r="E35" s="21">
        <v>0.25</v>
      </c>
      <c r="F35" s="21">
        <v>0.75</v>
      </c>
      <c r="G35" s="21">
        <v>0.64999997615814209</v>
      </c>
      <c r="H35" s="21">
        <v>0.56999999284744263</v>
      </c>
      <c r="I35" s="21">
        <v>0.74257427453994751</v>
      </c>
      <c r="J35" s="21">
        <v>0.31000000238418579</v>
      </c>
      <c r="K35" s="21">
        <v>0.70526313781738281</v>
      </c>
      <c r="L35" s="2" t="s">
        <v>35</v>
      </c>
      <c r="M35" s="2"/>
      <c r="N35" s="2"/>
      <c r="O35" s="2"/>
      <c r="P35" s="2"/>
      <c r="Q35" s="2"/>
      <c r="R35" s="2"/>
      <c r="S35" s="2"/>
      <c r="T35" s="2"/>
      <c r="U35" s="2"/>
      <c r="V35" s="2"/>
      <c r="W35" s="2"/>
      <c r="X35" s="2"/>
      <c r="Y35" s="2"/>
      <c r="Z35" s="2"/>
    </row>
    <row r="36" spans="1:26" ht="12.75" customHeight="1" x14ac:dyDescent="0.25">
      <c r="A36" s="2" t="s">
        <v>53</v>
      </c>
      <c r="B36" s="26">
        <v>6.9016103744506836</v>
      </c>
      <c r="C36" s="21">
        <v>0.65094339847564697</v>
      </c>
      <c r="D36" s="21">
        <v>0.30476191639900208</v>
      </c>
      <c r="E36" s="21">
        <v>0.25471699237823486</v>
      </c>
      <c r="F36" s="21">
        <v>0.79245281219482422</v>
      </c>
      <c r="G36" s="21">
        <v>0.71698111295700073</v>
      </c>
      <c r="H36" s="21">
        <v>0.42452830076217651</v>
      </c>
      <c r="I36" s="21">
        <v>0.79245281219482422</v>
      </c>
      <c r="J36" s="21">
        <v>0.50476193428039551</v>
      </c>
      <c r="K36" s="21">
        <v>0.75999999046325684</v>
      </c>
      <c r="L36" s="2" t="s">
        <v>18</v>
      </c>
      <c r="M36" s="2"/>
      <c r="N36" s="2"/>
      <c r="O36" s="2"/>
      <c r="P36" s="2"/>
      <c r="Q36" s="2"/>
      <c r="R36" s="2"/>
      <c r="S36" s="2"/>
      <c r="T36" s="2"/>
      <c r="U36" s="2"/>
      <c r="V36" s="2"/>
      <c r="W36" s="2"/>
      <c r="X36" s="2"/>
      <c r="Y36" s="2"/>
      <c r="Z36" s="2"/>
    </row>
    <row r="37" spans="1:26" ht="12.75" customHeight="1" x14ac:dyDescent="0.25">
      <c r="A37" s="2" t="s">
        <v>56</v>
      </c>
      <c r="B37" s="26">
        <v>5.5718522071838379</v>
      </c>
      <c r="C37" s="21">
        <v>0.41958042979240417</v>
      </c>
      <c r="D37" s="21">
        <v>0.37241378426551819</v>
      </c>
      <c r="E37" s="21">
        <v>0.4482758641242981</v>
      </c>
      <c r="F37" s="21">
        <v>0.64137929677963257</v>
      </c>
      <c r="G37" s="21">
        <v>0.58620691299438477</v>
      </c>
      <c r="H37" s="21">
        <v>0.43448275327682495</v>
      </c>
      <c r="I37" s="21">
        <v>0.71232879161834717</v>
      </c>
      <c r="J37" s="21">
        <v>0.4930555522441864</v>
      </c>
      <c r="K37" s="21">
        <v>0.61971831321716309</v>
      </c>
      <c r="L37" s="2" t="s">
        <v>35</v>
      </c>
      <c r="M37" s="2"/>
      <c r="N37" s="2"/>
      <c r="O37" s="2"/>
      <c r="P37" s="2"/>
      <c r="Q37" s="2"/>
      <c r="R37" s="2"/>
      <c r="S37" s="2"/>
      <c r="T37" s="2"/>
      <c r="U37" s="2"/>
      <c r="V37" s="2"/>
      <c r="W37" s="2"/>
      <c r="X37" s="2"/>
      <c r="Y37" s="2"/>
      <c r="Z37" s="2"/>
    </row>
    <row r="38" spans="1:26" ht="12.75" customHeight="1" x14ac:dyDescent="0.25">
      <c r="A38" s="2" t="s">
        <v>54</v>
      </c>
      <c r="B38" s="26">
        <v>6.3996434211730957</v>
      </c>
      <c r="C38" s="21">
        <v>0.60000002384185791</v>
      </c>
      <c r="D38" s="21">
        <v>0.29230770468711853</v>
      </c>
      <c r="E38" s="21">
        <v>0.30769231915473938</v>
      </c>
      <c r="F38" s="21">
        <v>0.70229005813598633</v>
      </c>
      <c r="G38" s="21">
        <v>0.63076925277709961</v>
      </c>
      <c r="H38" s="21">
        <v>0.30769231915473938</v>
      </c>
      <c r="I38" s="21">
        <v>0.73684209585189819</v>
      </c>
      <c r="J38" s="21">
        <v>0.41129031777381897</v>
      </c>
      <c r="K38" s="21">
        <v>0.63492065668106079</v>
      </c>
      <c r="L38" s="2" t="s">
        <v>18</v>
      </c>
      <c r="M38" s="2"/>
      <c r="N38" s="2"/>
      <c r="O38" s="2"/>
      <c r="P38" s="2"/>
      <c r="Q38" s="2"/>
      <c r="R38" s="2"/>
      <c r="S38" s="2"/>
      <c r="T38" s="2"/>
      <c r="U38" s="2"/>
      <c r="V38" s="2"/>
      <c r="W38" s="2"/>
      <c r="X38" s="2"/>
      <c r="Y38" s="2"/>
      <c r="Z38" s="2"/>
    </row>
    <row r="39" spans="1:26" ht="12.75" customHeight="1" x14ac:dyDescent="0.25">
      <c r="A39" s="2" t="s">
        <v>55</v>
      </c>
      <c r="B39" s="26">
        <v>5.7293310165405273</v>
      </c>
      <c r="C39" s="21">
        <v>0.51485151052474976</v>
      </c>
      <c r="D39" s="21">
        <v>0.21153846383094788</v>
      </c>
      <c r="E39" s="21">
        <v>0.61165046691894531</v>
      </c>
      <c r="F39" s="21">
        <v>0.7766990065574646</v>
      </c>
      <c r="G39" s="21">
        <v>0.66990292072296143</v>
      </c>
      <c r="H39" s="21">
        <v>0.68932038545608521</v>
      </c>
      <c r="I39" s="21">
        <v>0.70476192235946655</v>
      </c>
      <c r="J39" s="21">
        <v>0.36000001430511475</v>
      </c>
      <c r="K39" s="21">
        <v>0.64356434345245361</v>
      </c>
      <c r="L39" s="2" t="s">
        <v>18</v>
      </c>
      <c r="M39" s="2"/>
      <c r="N39" s="2"/>
      <c r="O39" s="2"/>
      <c r="P39" s="2"/>
      <c r="Q39" s="2"/>
      <c r="R39" s="2"/>
      <c r="S39" s="2"/>
      <c r="T39" s="2"/>
      <c r="U39" s="2"/>
      <c r="V39" s="2"/>
      <c r="W39" s="2"/>
      <c r="X39" s="2"/>
      <c r="Y39" s="2"/>
      <c r="Z39" s="2"/>
    </row>
    <row r="40" spans="1:26" ht="12.75" customHeight="1" x14ac:dyDescent="0.25">
      <c r="A40" s="2" t="s">
        <v>57</v>
      </c>
      <c r="B40" s="26">
        <v>6.8073325157165527</v>
      </c>
      <c r="C40" s="21">
        <v>0.63414633274078369</v>
      </c>
      <c r="D40" s="21">
        <v>0.22764228284358978</v>
      </c>
      <c r="E40" s="21">
        <v>0.43902438879013062</v>
      </c>
      <c r="F40" s="21">
        <v>0.82113820314407349</v>
      </c>
      <c r="G40" s="21">
        <v>0.76422762870788574</v>
      </c>
      <c r="H40" s="21">
        <v>0.46341463923454285</v>
      </c>
      <c r="I40" s="21">
        <v>0.77165353298187256</v>
      </c>
      <c r="J40" s="21">
        <v>0.47499999403953552</v>
      </c>
      <c r="K40" s="21">
        <v>0.74590164422988892</v>
      </c>
      <c r="L40" s="2" t="s">
        <v>15</v>
      </c>
      <c r="M40" s="2"/>
      <c r="N40" s="2"/>
      <c r="O40" s="2"/>
      <c r="P40" s="2"/>
      <c r="Q40" s="2"/>
      <c r="R40" s="2"/>
      <c r="S40" s="2"/>
      <c r="T40" s="2"/>
      <c r="U40" s="2"/>
      <c r="V40" s="2"/>
      <c r="W40" s="2"/>
      <c r="X40" s="2"/>
      <c r="Y40" s="2"/>
      <c r="Z40" s="2"/>
    </row>
    <row r="41" spans="1:26" ht="12.75" customHeight="1" x14ac:dyDescent="0.25">
      <c r="A41" s="2" t="s">
        <v>58</v>
      </c>
      <c r="B41" s="26">
        <v>6.1497483253479004</v>
      </c>
      <c r="C41" s="21">
        <v>0.4583333432674408</v>
      </c>
      <c r="D41" s="21">
        <v>0.36301368474960327</v>
      </c>
      <c r="E41" s="21">
        <v>0.37671232223510742</v>
      </c>
      <c r="F41" s="21">
        <v>0.71232879161834717</v>
      </c>
      <c r="G41" s="21">
        <v>0.67123287916183472</v>
      </c>
      <c r="H41" s="21">
        <v>0.44520547986030579</v>
      </c>
      <c r="I41" s="21">
        <v>0.79452055692672729</v>
      </c>
      <c r="J41" s="21">
        <v>0.60139858722686768</v>
      </c>
      <c r="K41" s="21">
        <v>0.64583331346511841</v>
      </c>
      <c r="L41" s="2" t="s">
        <v>21</v>
      </c>
      <c r="M41" s="2"/>
      <c r="N41" s="2"/>
      <c r="O41" s="2"/>
      <c r="P41" s="2"/>
      <c r="Q41" s="2"/>
      <c r="R41" s="2"/>
      <c r="S41" s="2"/>
      <c r="T41" s="2"/>
      <c r="U41" s="2"/>
      <c r="V41" s="2"/>
      <c r="W41" s="2"/>
      <c r="X41" s="2"/>
      <c r="Y41" s="2"/>
      <c r="Z41" s="2"/>
    </row>
    <row r="42" spans="1:26" ht="12.75" customHeight="1" x14ac:dyDescent="0.25">
      <c r="A42" s="2" t="s">
        <v>59</v>
      </c>
      <c r="B42" s="26">
        <v>6.1153874397277832</v>
      </c>
      <c r="C42" s="21">
        <v>0.35172414779663086</v>
      </c>
      <c r="D42" s="21">
        <v>0.18620689213275909</v>
      </c>
      <c r="E42" s="21">
        <v>0.24137930572032928</v>
      </c>
      <c r="F42" s="21">
        <v>0.78767120838165283</v>
      </c>
      <c r="G42" s="21">
        <v>0.75342464447021484</v>
      </c>
      <c r="H42" s="21">
        <v>0.67586207389831543</v>
      </c>
      <c r="I42" s="21">
        <v>0.7615894079208374</v>
      </c>
      <c r="J42" s="21">
        <v>0.19014084339141846</v>
      </c>
      <c r="K42" s="21">
        <v>0.7986111044883728</v>
      </c>
      <c r="L42" s="2" t="s">
        <v>26</v>
      </c>
      <c r="M42" s="2"/>
      <c r="N42" s="2"/>
      <c r="O42" s="2"/>
      <c r="P42" s="2"/>
      <c r="Q42" s="2"/>
      <c r="R42" s="2"/>
      <c r="S42" s="2"/>
      <c r="T42" s="2"/>
      <c r="U42" s="2"/>
      <c r="V42" s="2"/>
      <c r="W42" s="2"/>
      <c r="X42" s="2"/>
      <c r="Y42" s="2"/>
      <c r="Z42" s="2"/>
    </row>
    <row r="43" spans="1:26" ht="12.75" customHeight="1" x14ac:dyDescent="0.25">
      <c r="A43" s="2" t="s">
        <v>60</v>
      </c>
      <c r="B43" s="26">
        <v>6.5436315536499023</v>
      </c>
      <c r="C43" s="21">
        <v>0.57364338636398315</v>
      </c>
      <c r="D43" s="21">
        <v>0.26153847575187683</v>
      </c>
      <c r="E43" s="21">
        <v>0.40458014607429504</v>
      </c>
      <c r="F43" s="21">
        <v>0.80152672529220581</v>
      </c>
      <c r="G43" s="21">
        <v>0.72307693958282471</v>
      </c>
      <c r="H43" s="21">
        <v>0.48461538553237915</v>
      </c>
      <c r="I43" s="21">
        <v>0.73282444477081299</v>
      </c>
      <c r="J43" s="21">
        <v>0.43307086825370789</v>
      </c>
      <c r="K43" s="21">
        <v>0.7839999794960022</v>
      </c>
      <c r="L43" s="2" t="s">
        <v>21</v>
      </c>
      <c r="M43" s="2"/>
      <c r="N43" s="2"/>
      <c r="O43" s="2"/>
      <c r="P43" s="2"/>
      <c r="Q43" s="2"/>
      <c r="R43" s="2"/>
      <c r="S43" s="2"/>
      <c r="T43" s="2"/>
      <c r="U43" s="2"/>
      <c r="V43" s="2"/>
      <c r="W43" s="2"/>
      <c r="X43" s="2"/>
      <c r="Y43" s="2"/>
      <c r="Z43" s="2"/>
    </row>
    <row r="44" spans="1:26" ht="12.75" customHeight="1" x14ac:dyDescent="0.25">
      <c r="A44" s="2" t="s">
        <v>61</v>
      </c>
      <c r="B44" s="26">
        <v>7.4060702323913574</v>
      </c>
      <c r="C44" s="21">
        <v>0.48672565817832947</v>
      </c>
      <c r="D44" s="21">
        <v>8.849557489156723E-2</v>
      </c>
      <c r="E44" s="21">
        <v>0.54867255687713623</v>
      </c>
      <c r="F44" s="21">
        <v>0.92035400867462158</v>
      </c>
      <c r="G44" s="21">
        <v>0.8849557638168335</v>
      </c>
      <c r="H44" s="21">
        <v>0.55752211809158325</v>
      </c>
      <c r="I44" s="21">
        <v>0.94690263271331787</v>
      </c>
      <c r="J44" s="21">
        <v>0.58928573131561279</v>
      </c>
      <c r="K44" s="21">
        <v>0.94642859697341919</v>
      </c>
      <c r="L44" s="2" t="s">
        <v>26</v>
      </c>
      <c r="M44" s="2"/>
      <c r="N44" s="2"/>
      <c r="O44" s="2"/>
      <c r="P44" s="2"/>
      <c r="Q44" s="2"/>
      <c r="R44" s="2"/>
      <c r="S44" s="2"/>
      <c r="T44" s="2"/>
      <c r="U44" s="2"/>
      <c r="V44" s="2"/>
      <c r="W44" s="2"/>
      <c r="X44" s="2"/>
      <c r="Y44" s="2"/>
      <c r="Z44" s="2"/>
    </row>
    <row r="45" spans="1:26" ht="12.75" customHeight="1" x14ac:dyDescent="0.25">
      <c r="A45" s="2" t="s">
        <v>62</v>
      </c>
      <c r="B45" s="26">
        <v>6.6332015991210938</v>
      </c>
      <c r="C45" s="21">
        <v>0.60294115543365479</v>
      </c>
      <c r="D45" s="21">
        <v>0.28571429848670959</v>
      </c>
      <c r="E45" s="21">
        <v>0.37588652968406677</v>
      </c>
      <c r="F45" s="21">
        <v>0.75177305936813354</v>
      </c>
      <c r="G45" s="21">
        <v>0.75177305936813354</v>
      </c>
      <c r="H45" s="21">
        <v>0.39716312289237976</v>
      </c>
      <c r="I45" s="21">
        <v>0.76056337356567383</v>
      </c>
      <c r="J45" s="21">
        <v>0.46268656849861145</v>
      </c>
      <c r="K45" s="21">
        <v>0.72661870718002319</v>
      </c>
      <c r="L45" s="2" t="s">
        <v>18</v>
      </c>
      <c r="M45" s="2"/>
      <c r="N45" s="2"/>
      <c r="O45" s="2"/>
      <c r="P45" s="2"/>
      <c r="Q45" s="2"/>
      <c r="R45" s="2"/>
      <c r="S45" s="2"/>
      <c r="T45" s="2"/>
      <c r="U45" s="2"/>
      <c r="V45" s="2"/>
      <c r="W45" s="2"/>
      <c r="X45" s="2"/>
      <c r="Y45" s="2"/>
      <c r="Z45" s="2"/>
    </row>
    <row r="46" spans="1:26" ht="12.75" customHeight="1" x14ac:dyDescent="0.25">
      <c r="A46" s="2" t="s">
        <v>63</v>
      </c>
      <c r="B46" s="26">
        <v>5.6005120277404785</v>
      </c>
      <c r="C46" s="21">
        <v>0.5288461446762085</v>
      </c>
      <c r="D46" s="21">
        <v>0.32038834691047668</v>
      </c>
      <c r="E46" s="21">
        <v>0.59047621488571167</v>
      </c>
      <c r="F46" s="21">
        <v>0.73333334922790527</v>
      </c>
      <c r="G46" s="21">
        <v>0.67619049549102783</v>
      </c>
      <c r="H46" s="21">
        <v>0.65094339847564697</v>
      </c>
      <c r="I46" s="21">
        <v>0.71962618827819824</v>
      </c>
      <c r="J46" s="21">
        <v>0.4038461446762085</v>
      </c>
      <c r="K46" s="21">
        <v>0.62376236915588379</v>
      </c>
      <c r="L46" s="2" t="s">
        <v>26</v>
      </c>
      <c r="M46" s="2"/>
      <c r="N46" s="2"/>
      <c r="O46" s="2"/>
      <c r="P46" s="2"/>
      <c r="Q46" s="2"/>
      <c r="R46" s="2"/>
      <c r="S46" s="2"/>
      <c r="T46" s="2"/>
      <c r="U46" s="2"/>
      <c r="V46" s="2"/>
      <c r="W46" s="2"/>
      <c r="X46" s="2"/>
      <c r="Y46" s="2"/>
      <c r="Z46" s="2"/>
    </row>
    <row r="47" spans="1:26" ht="12.75" customHeight="1" x14ac:dyDescent="0.25">
      <c r="A47" s="2" t="s">
        <v>64</v>
      </c>
      <c r="B47" s="26">
        <v>6.0968828201293945</v>
      </c>
      <c r="C47" s="21">
        <v>0.3888888955116272</v>
      </c>
      <c r="D47" s="21">
        <v>0.23636363446712494</v>
      </c>
      <c r="E47" s="21">
        <v>0.22522522509098053</v>
      </c>
      <c r="F47" s="21">
        <v>0.75675678253173828</v>
      </c>
      <c r="G47" s="21">
        <v>0.76576578617095947</v>
      </c>
      <c r="H47" s="21">
        <v>0.67567569017410278</v>
      </c>
      <c r="I47" s="21">
        <v>0.77678573131561279</v>
      </c>
      <c r="J47" s="21">
        <v>0.22641509771347046</v>
      </c>
      <c r="K47" s="21">
        <v>0.77981650829315186</v>
      </c>
      <c r="L47" s="2" t="s">
        <v>26</v>
      </c>
      <c r="M47" s="2"/>
      <c r="N47" s="2"/>
      <c r="O47" s="2"/>
      <c r="P47" s="2"/>
      <c r="Q47" s="2"/>
      <c r="R47" s="2"/>
      <c r="S47" s="2"/>
      <c r="T47" s="2"/>
      <c r="U47" s="2"/>
      <c r="V47" s="2"/>
      <c r="W47" s="2"/>
      <c r="X47" s="2"/>
      <c r="Y47" s="2"/>
      <c r="Z47" s="2"/>
    </row>
    <row r="48" spans="1:26" ht="12.75" customHeight="1" x14ac:dyDescent="0.25">
      <c r="A48" s="2" t="s">
        <v>65</v>
      </c>
      <c r="B48" s="26">
        <v>6.5743393898010254</v>
      </c>
      <c r="C48" s="21">
        <v>0.54794520139694214</v>
      </c>
      <c r="D48" s="21">
        <v>0.25</v>
      </c>
      <c r="E48" s="21">
        <v>0.35374149680137634</v>
      </c>
      <c r="F48" s="21">
        <v>0.77551019191741943</v>
      </c>
      <c r="G48" s="21">
        <v>0.63265305757522583</v>
      </c>
      <c r="H48" s="21">
        <v>0.380952388048172</v>
      </c>
      <c r="I48" s="21">
        <v>0.71428573131561279</v>
      </c>
      <c r="J48" s="21">
        <v>0.55244755744934082</v>
      </c>
      <c r="K48" s="21">
        <v>0.70833331346511841</v>
      </c>
      <c r="L48" s="2" t="s">
        <v>26</v>
      </c>
      <c r="M48" s="2"/>
      <c r="N48" s="2"/>
      <c r="O48" s="2"/>
      <c r="P48" s="2"/>
      <c r="Q48" s="2"/>
      <c r="R48" s="2"/>
      <c r="S48" s="2"/>
      <c r="T48" s="2"/>
      <c r="U48" s="2"/>
      <c r="V48" s="2"/>
      <c r="W48" s="2"/>
      <c r="X48" s="2"/>
      <c r="Y48" s="2"/>
      <c r="Z48" s="2"/>
    </row>
    <row r="49" spans="1:26" ht="12.75" customHeight="1" x14ac:dyDescent="0.25">
      <c r="A49" s="2" t="s">
        <v>66</v>
      </c>
      <c r="B49" s="26">
        <v>6.556358814239502</v>
      </c>
      <c r="C49" s="21">
        <v>0.50420171022415161</v>
      </c>
      <c r="D49" s="21">
        <v>0.23333333432674408</v>
      </c>
      <c r="E49" s="21">
        <v>0.49166667461395264</v>
      </c>
      <c r="F49" s="21">
        <v>0.79166668653488159</v>
      </c>
      <c r="G49" s="21">
        <v>0.74166667461395264</v>
      </c>
      <c r="H49" s="21">
        <v>0.5</v>
      </c>
      <c r="I49" s="21">
        <v>0.77685952186584473</v>
      </c>
      <c r="J49" s="21">
        <v>0.61666667461395264</v>
      </c>
      <c r="K49" s="21">
        <v>0.72881358861923218</v>
      </c>
      <c r="L49" s="2" t="s">
        <v>26</v>
      </c>
      <c r="M49" s="2"/>
      <c r="N49" s="2"/>
      <c r="O49" s="2"/>
      <c r="P49" s="2"/>
      <c r="Q49" s="2"/>
      <c r="R49" s="2"/>
      <c r="S49" s="2"/>
      <c r="T49" s="2"/>
      <c r="U49" s="2"/>
      <c r="V49" s="2"/>
      <c r="W49" s="2"/>
      <c r="X49" s="2"/>
      <c r="Y49" s="2"/>
      <c r="Z49" s="2"/>
    </row>
    <row r="50" spans="1:26" ht="12.75" customHeight="1" x14ac:dyDescent="0.25">
      <c r="A50" s="2" t="s">
        <v>67</v>
      </c>
      <c r="B50" s="26">
        <v>6.5472440719604492</v>
      </c>
      <c r="C50" s="21">
        <v>0.70520234107971191</v>
      </c>
      <c r="D50" s="21">
        <v>0.26589596271514893</v>
      </c>
      <c r="E50" s="21">
        <v>0.30813953280448914</v>
      </c>
      <c r="F50" s="21">
        <v>0.66666668653488159</v>
      </c>
      <c r="G50" s="21">
        <v>0.65497076511383057</v>
      </c>
      <c r="H50" s="21">
        <v>0.39181286096572876</v>
      </c>
      <c r="I50" s="21">
        <v>0.71428573131561279</v>
      </c>
      <c r="J50" s="21">
        <v>0.51190477609634399</v>
      </c>
      <c r="K50" s="21">
        <v>0.62804877758026123</v>
      </c>
      <c r="L50" s="2" t="s">
        <v>21</v>
      </c>
      <c r="M50" s="2"/>
      <c r="N50" s="2"/>
      <c r="O50" s="2"/>
      <c r="P50" s="2"/>
      <c r="Q50" s="2"/>
      <c r="R50" s="2"/>
      <c r="S50" s="2"/>
      <c r="T50" s="2"/>
      <c r="U50" s="2"/>
      <c r="V50" s="2"/>
      <c r="W50" s="2"/>
      <c r="X50" s="2"/>
      <c r="Y50" s="2"/>
      <c r="Z50" s="2"/>
    </row>
    <row r="51" spans="1:26" ht="12.75" customHeight="1" x14ac:dyDescent="0.25">
      <c r="A51" s="2" t="s">
        <v>68</v>
      </c>
      <c r="B51" s="26">
        <v>6.0209579467773438</v>
      </c>
      <c r="C51" s="21">
        <v>0.29807692766189575</v>
      </c>
      <c r="D51" s="21">
        <v>0.22857142984867096</v>
      </c>
      <c r="E51" s="21">
        <v>0.18867924809455872</v>
      </c>
      <c r="F51" s="21">
        <v>0.79245281219482422</v>
      </c>
      <c r="G51" s="21">
        <v>0.73584908246994019</v>
      </c>
      <c r="H51" s="21">
        <v>0.6603773832321167</v>
      </c>
      <c r="I51" s="21">
        <v>0.74766355752944946</v>
      </c>
      <c r="J51" s="21">
        <v>0.20952381193637848</v>
      </c>
      <c r="K51" s="21">
        <v>0.79245281219482422</v>
      </c>
      <c r="L51" s="2" t="s">
        <v>26</v>
      </c>
      <c r="M51" s="2"/>
      <c r="N51" s="2"/>
      <c r="O51" s="2"/>
      <c r="P51" s="2"/>
      <c r="Q51" s="2"/>
      <c r="R51" s="2"/>
      <c r="S51" s="2"/>
      <c r="T51" s="2"/>
      <c r="U51" s="2"/>
      <c r="V51" s="2"/>
      <c r="W51" s="2"/>
      <c r="X51" s="2"/>
      <c r="Y51" s="2"/>
      <c r="Z51" s="2"/>
    </row>
    <row r="52" spans="1:26" ht="12.75" customHeight="1" x14ac:dyDescent="0.25">
      <c r="A52" s="2" t="s">
        <v>69</v>
      </c>
      <c r="B52" s="26">
        <v>5.5498595237731934</v>
      </c>
      <c r="C52" s="21">
        <v>0.4761904776096344</v>
      </c>
      <c r="D52" s="21">
        <v>0.2641509473323822</v>
      </c>
      <c r="E52" s="21">
        <v>0.71698111295700073</v>
      </c>
      <c r="F52" s="21">
        <v>0.77358490228652954</v>
      </c>
      <c r="G52" s="21">
        <v>0.69811320304870605</v>
      </c>
      <c r="H52" s="21">
        <v>0.69811320304870605</v>
      </c>
      <c r="I52" s="21">
        <v>0.68867921829223633</v>
      </c>
      <c r="J52" s="21">
        <v>0.3883495032787323</v>
      </c>
      <c r="K52" s="21">
        <v>0.69902914762496948</v>
      </c>
      <c r="L52" s="2" t="s">
        <v>15</v>
      </c>
      <c r="M52" s="2"/>
      <c r="N52" s="2"/>
      <c r="O52" s="2"/>
      <c r="P52" s="2"/>
      <c r="Q52" s="2"/>
      <c r="R52" s="2"/>
      <c r="S52" s="2"/>
      <c r="T52" s="2"/>
      <c r="U52" s="2"/>
      <c r="V52" s="2"/>
      <c r="W52" s="2"/>
      <c r="X52" s="2"/>
      <c r="Y52" s="2"/>
      <c r="Z52" s="2"/>
    </row>
    <row r="53" spans="1:26" ht="12.75" customHeight="1" x14ac:dyDescent="0.25">
      <c r="A53" s="2" t="s">
        <v>70</v>
      </c>
      <c r="B53" s="26">
        <v>5.2863540649414063</v>
      </c>
      <c r="C53" s="21">
        <v>0.43809524178504944</v>
      </c>
      <c r="D53" s="21">
        <v>0.41121494770050049</v>
      </c>
      <c r="E53" s="21">
        <v>0.33962264657020569</v>
      </c>
      <c r="F53" s="21">
        <v>0.58490568399429321</v>
      </c>
      <c r="G53" s="21">
        <v>0.5</v>
      </c>
      <c r="H53" s="21">
        <v>0.29245284199714661</v>
      </c>
      <c r="I53" s="21">
        <v>0.52293580770492554</v>
      </c>
      <c r="J53" s="21">
        <v>0.41747573018074036</v>
      </c>
      <c r="K53" s="21">
        <v>0.55339807271957397</v>
      </c>
      <c r="L53" s="2" t="s">
        <v>18</v>
      </c>
      <c r="M53" s="2"/>
      <c r="N53" s="2"/>
      <c r="O53" s="2"/>
      <c r="P53" s="2"/>
      <c r="Q53" s="2"/>
      <c r="R53" s="2"/>
      <c r="S53" s="2"/>
      <c r="T53" s="2"/>
      <c r="U53" s="2"/>
      <c r="V53" s="2"/>
      <c r="W53" s="2"/>
      <c r="X53" s="2"/>
      <c r="Y53" s="2"/>
      <c r="Z53" s="2"/>
    </row>
    <row r="54" spans="1:26" ht="12.75" customHeight="1" x14ac:dyDescent="0.25">
      <c r="A54" s="2" t="s">
        <v>78</v>
      </c>
      <c r="B54" s="26">
        <v>6.5118298530578613</v>
      </c>
      <c r="C54" s="21">
        <v>0.55737704038619995</v>
      </c>
      <c r="D54" s="21">
        <v>0.2601625919342041</v>
      </c>
      <c r="E54" s="21">
        <v>0.4065040647983551</v>
      </c>
      <c r="F54" s="21">
        <v>0.7804877758026123</v>
      </c>
      <c r="G54" s="21">
        <v>0.71544712781906128</v>
      </c>
      <c r="H54" s="21">
        <v>0.47967478632926941</v>
      </c>
      <c r="I54" s="21">
        <v>0.7398374080657959</v>
      </c>
      <c r="J54" s="21">
        <v>0.5128205418586731</v>
      </c>
      <c r="K54" s="21">
        <v>0.72727274894714355</v>
      </c>
      <c r="L54" s="2" t="s">
        <v>26</v>
      </c>
      <c r="M54" s="2"/>
      <c r="N54" s="2"/>
      <c r="O54" s="2"/>
      <c r="P54" s="2"/>
      <c r="Q54" s="2"/>
      <c r="R54" s="2"/>
      <c r="S54" s="2"/>
      <c r="T54" s="2"/>
      <c r="U54" s="2"/>
      <c r="V54" s="2"/>
      <c r="W54" s="2"/>
      <c r="X54" s="2"/>
      <c r="Y54" s="2"/>
      <c r="Z54" s="2"/>
    </row>
    <row r="55" spans="1:26" ht="12.75" customHeight="1" x14ac:dyDescent="0.25">
      <c r="A55" s="2" t="s">
        <v>71</v>
      </c>
      <c r="B55" s="26">
        <v>6.5614032745361328</v>
      </c>
      <c r="C55" s="21">
        <v>0.6269841194152832</v>
      </c>
      <c r="D55" s="21">
        <v>0.3333333432674408</v>
      </c>
      <c r="E55" s="21">
        <v>0.3095238208770752</v>
      </c>
      <c r="F55" s="21">
        <v>0.68253970146179199</v>
      </c>
      <c r="G55" s="21">
        <v>0.63492065668106079</v>
      </c>
      <c r="H55" s="21">
        <v>0.3174603283405304</v>
      </c>
      <c r="I55" s="21">
        <v>0.70078742504119873</v>
      </c>
      <c r="J55" s="21">
        <v>0.63200002908706665</v>
      </c>
      <c r="K55" s="21">
        <v>0.68548387289047241</v>
      </c>
      <c r="L55" s="2" t="s">
        <v>24</v>
      </c>
      <c r="M55" s="2"/>
      <c r="N55" s="2"/>
      <c r="O55" s="2"/>
      <c r="P55" s="2"/>
      <c r="Q55" s="2"/>
      <c r="R55" s="2"/>
      <c r="S55" s="2"/>
      <c r="T55" s="2"/>
      <c r="U55" s="2"/>
      <c r="V55" s="2"/>
      <c r="W55" s="2"/>
      <c r="X55" s="2"/>
      <c r="Y55" s="2"/>
      <c r="Z55" s="2"/>
    </row>
    <row r="56" spans="1:26" ht="12.75" customHeight="1" x14ac:dyDescent="0.25">
      <c r="A56" s="2" t="s">
        <v>72</v>
      </c>
      <c r="B56" s="26">
        <v>7.3914146423339844</v>
      </c>
      <c r="C56" s="21">
        <v>0.60799998044967651</v>
      </c>
      <c r="D56" s="21">
        <v>0.190476194024086</v>
      </c>
      <c r="E56" s="21">
        <v>0.4126984179019928</v>
      </c>
      <c r="F56" s="21">
        <v>0.8888888955116272</v>
      </c>
      <c r="G56" s="21">
        <v>0.8095238208770752</v>
      </c>
      <c r="H56" s="21">
        <v>0.4523809552192688</v>
      </c>
      <c r="I56" s="21">
        <v>0.90551179647445679</v>
      </c>
      <c r="J56" s="21">
        <v>0.57599997520446777</v>
      </c>
      <c r="K56" s="21">
        <v>0.8595041036605835</v>
      </c>
      <c r="L56" s="2" t="s">
        <v>21</v>
      </c>
      <c r="M56" s="2"/>
      <c r="N56" s="2"/>
      <c r="O56" s="2"/>
      <c r="P56" s="2"/>
      <c r="Q56" s="2"/>
      <c r="R56" s="2"/>
      <c r="S56" s="2"/>
      <c r="T56" s="2"/>
      <c r="U56" s="2"/>
      <c r="V56" s="2"/>
      <c r="W56" s="2"/>
      <c r="X56" s="2"/>
      <c r="Y56" s="2"/>
      <c r="Z56" s="2"/>
    </row>
    <row r="57" spans="1:26" ht="12.75" customHeight="1" x14ac:dyDescent="0.25">
      <c r="A57" s="2" t="s">
        <v>73</v>
      </c>
      <c r="B57" s="26">
        <v>6.575648307800293</v>
      </c>
      <c r="C57" s="21">
        <v>0.53658539056777954</v>
      </c>
      <c r="D57" s="21">
        <v>0.23577235639095306</v>
      </c>
      <c r="E57" s="21">
        <v>0.36585366725921631</v>
      </c>
      <c r="F57" s="21">
        <v>0.77235770225524902</v>
      </c>
      <c r="G57" s="21">
        <v>0.71544712781906128</v>
      </c>
      <c r="H57" s="21">
        <v>0.46341463923454285</v>
      </c>
      <c r="I57" s="21">
        <v>0.80645161867141724</v>
      </c>
      <c r="J57" s="21">
        <v>0.46610170602798462</v>
      </c>
      <c r="K57" s="21">
        <v>0.70833331346511841</v>
      </c>
      <c r="L57" s="2" t="s">
        <v>18</v>
      </c>
      <c r="M57" s="2"/>
      <c r="N57" s="2"/>
      <c r="O57" s="2"/>
      <c r="P57" s="2"/>
      <c r="Q57" s="2"/>
      <c r="R57" s="2"/>
      <c r="S57" s="2"/>
      <c r="T57" s="2"/>
      <c r="U57" s="2"/>
      <c r="V57" s="2"/>
      <c r="W57" s="2"/>
      <c r="X57" s="2"/>
      <c r="Y57" s="2"/>
      <c r="Z57" s="2"/>
    </row>
    <row r="58" spans="1:26" ht="12.75" customHeight="1" x14ac:dyDescent="0.25">
      <c r="A58" s="2" t="s">
        <v>74</v>
      </c>
      <c r="B58" s="26">
        <v>6.7475848197937012</v>
      </c>
      <c r="C58" s="21">
        <v>0.49056604504585266</v>
      </c>
      <c r="D58" s="21">
        <v>0.27044025063514709</v>
      </c>
      <c r="E58" s="21">
        <v>0.39622640609741211</v>
      </c>
      <c r="F58" s="21">
        <v>0.81761008501052856</v>
      </c>
      <c r="G58" s="21">
        <v>0.76100629568099976</v>
      </c>
      <c r="H58" s="21">
        <v>0.44654089212417603</v>
      </c>
      <c r="I58" s="21">
        <v>0.8125</v>
      </c>
      <c r="J58" s="21">
        <v>0.5345911979675293</v>
      </c>
      <c r="K58" s="21">
        <v>0.8193548321723938</v>
      </c>
      <c r="L58" s="2" t="s">
        <v>26</v>
      </c>
      <c r="M58" s="2"/>
      <c r="N58" s="2"/>
      <c r="O58" s="2"/>
      <c r="P58" s="2"/>
      <c r="Q58" s="2"/>
      <c r="R58" s="2"/>
      <c r="S58" s="2"/>
      <c r="T58" s="2"/>
      <c r="U58" s="2"/>
      <c r="V58" s="2"/>
      <c r="W58" s="2"/>
      <c r="X58" s="2"/>
      <c r="Y58" s="2"/>
      <c r="Z58" s="2"/>
    </row>
    <row r="59" spans="1:26" ht="12.75" customHeight="1" x14ac:dyDescent="0.25">
      <c r="A59" s="2" t="s">
        <v>75</v>
      </c>
      <c r="B59" s="26">
        <v>6.747159481048584</v>
      </c>
      <c r="C59" s="21">
        <v>0.50458717346191406</v>
      </c>
      <c r="D59" s="21">
        <v>0.26851850748062134</v>
      </c>
      <c r="E59" s="21">
        <v>0.1666666716337204</v>
      </c>
      <c r="F59" s="21">
        <v>0.75925928354263306</v>
      </c>
      <c r="G59" s="21">
        <v>0.65740740299224854</v>
      </c>
      <c r="H59" s="21">
        <v>0.40740740299224854</v>
      </c>
      <c r="I59" s="21">
        <v>0.7946428656578064</v>
      </c>
      <c r="J59" s="21">
        <v>0.53333336114883423</v>
      </c>
      <c r="K59" s="21">
        <v>0.74000000953674316</v>
      </c>
      <c r="L59" s="2" t="s">
        <v>15</v>
      </c>
      <c r="M59" s="2"/>
      <c r="N59" s="2"/>
      <c r="O59" s="2"/>
      <c r="P59" s="2"/>
      <c r="Q59" s="2"/>
      <c r="R59" s="2"/>
      <c r="S59" s="2"/>
      <c r="T59" s="2"/>
      <c r="U59" s="2"/>
      <c r="V59" s="2"/>
      <c r="W59" s="2"/>
      <c r="X59" s="2"/>
      <c r="Y59" s="2"/>
      <c r="Z59" s="2"/>
    </row>
    <row r="60" spans="1:26" ht="12.75" customHeight="1" x14ac:dyDescent="0.25">
      <c r="A60" s="2" t="s">
        <v>77</v>
      </c>
      <c r="B60" s="26">
        <v>5.6726531982421875</v>
      </c>
      <c r="C60" s="21">
        <v>0.49019607901573181</v>
      </c>
      <c r="D60" s="21">
        <v>0.40776699781417847</v>
      </c>
      <c r="E60" s="21">
        <v>0.44660192728042603</v>
      </c>
      <c r="F60" s="21">
        <v>0.61165046691894531</v>
      </c>
      <c r="G60" s="21">
        <v>0.55339807271957397</v>
      </c>
      <c r="H60" s="21">
        <v>0.3883495032787323</v>
      </c>
      <c r="I60" s="21">
        <v>0.71844661235809326</v>
      </c>
      <c r="J60" s="21">
        <v>0.59803920984268188</v>
      </c>
      <c r="K60" s="21">
        <v>0.60000002384185791</v>
      </c>
      <c r="L60" s="2" t="s">
        <v>15</v>
      </c>
      <c r="M60" s="2"/>
      <c r="N60" s="2"/>
      <c r="O60" s="2"/>
      <c r="P60" s="2"/>
      <c r="Q60" s="2"/>
      <c r="R60" s="2"/>
      <c r="S60" s="2"/>
      <c r="T60" s="2"/>
      <c r="U60" s="2"/>
      <c r="V60" s="2"/>
      <c r="W60" s="2"/>
      <c r="X60" s="2"/>
      <c r="Y60" s="2"/>
      <c r="Z60" s="2"/>
    </row>
    <row r="61" spans="1:26" ht="12.75" customHeight="1" x14ac:dyDescent="0.25">
      <c r="A61" s="2" t="s">
        <v>79</v>
      </c>
      <c r="B61" s="26">
        <v>6.0296940803527832</v>
      </c>
      <c r="C61" s="21">
        <v>0.49019607901573181</v>
      </c>
      <c r="D61" s="21">
        <v>0.32038834691047668</v>
      </c>
      <c r="E61" s="21">
        <v>0.39805826544761658</v>
      </c>
      <c r="F61" s="21">
        <v>0.72815531492233276</v>
      </c>
      <c r="G61" s="21">
        <v>0.66990292072296143</v>
      </c>
      <c r="H61" s="21">
        <v>0.36893203854560852</v>
      </c>
      <c r="I61" s="21">
        <v>0.71153843402862549</v>
      </c>
      <c r="J61" s="21">
        <v>0.40404039621353149</v>
      </c>
      <c r="K61" s="21">
        <v>0.59183675050735474</v>
      </c>
      <c r="L61" s="2" t="s">
        <v>18</v>
      </c>
      <c r="M61" s="2"/>
      <c r="N61" s="2"/>
      <c r="O61" s="2"/>
      <c r="P61" s="2"/>
      <c r="Q61" s="2"/>
      <c r="R61" s="2"/>
      <c r="S61" s="2"/>
      <c r="T61" s="2"/>
      <c r="U61" s="2"/>
      <c r="V61" s="2"/>
      <c r="W61" s="2"/>
      <c r="X61" s="2"/>
      <c r="Y61" s="2"/>
      <c r="Z61" s="2"/>
    </row>
    <row r="62" spans="1:26" ht="12.75" customHeight="1" x14ac:dyDescent="0.25">
      <c r="A62" s="2" t="s">
        <v>80</v>
      </c>
      <c r="B62" s="26">
        <v>6.0084748268127441</v>
      </c>
      <c r="C62" s="21">
        <v>0.34959349036216736</v>
      </c>
      <c r="D62" s="21">
        <v>0.24799999594688416</v>
      </c>
      <c r="E62" s="21">
        <v>0.60000002384185791</v>
      </c>
      <c r="F62" s="21">
        <v>0.73600000143051147</v>
      </c>
      <c r="G62" s="21">
        <v>0.70399999618530273</v>
      </c>
      <c r="H62" s="21">
        <v>0.58399999141693115</v>
      </c>
      <c r="I62" s="21">
        <v>0.85039371252059937</v>
      </c>
      <c r="J62" s="21">
        <v>0.5634920597076416</v>
      </c>
      <c r="K62" s="21">
        <v>0.77235770225524902</v>
      </c>
      <c r="L62" s="2" t="s">
        <v>15</v>
      </c>
      <c r="M62" s="2"/>
      <c r="N62" s="2"/>
      <c r="O62" s="2"/>
      <c r="P62" s="2"/>
      <c r="Q62" s="2"/>
      <c r="R62" s="2"/>
      <c r="S62" s="2"/>
      <c r="T62" s="2"/>
      <c r="U62" s="2"/>
      <c r="V62" s="2"/>
      <c r="W62" s="2"/>
      <c r="X62" s="2"/>
      <c r="Y62" s="2"/>
      <c r="Z62" s="2"/>
    </row>
    <row r="63" spans="1:26" ht="12.75" customHeight="1" x14ac:dyDescent="0.25">
      <c r="A63" s="2" t="s">
        <v>81</v>
      </c>
      <c r="B63" s="26">
        <v>6.2805314064025879</v>
      </c>
      <c r="C63" s="21">
        <v>0.61271673440933228</v>
      </c>
      <c r="D63" s="21">
        <v>0.25433525443077087</v>
      </c>
      <c r="E63" s="21">
        <v>0.32571429014205933</v>
      </c>
      <c r="F63" s="21">
        <v>0.70285713672637939</v>
      </c>
      <c r="G63" s="21">
        <v>0.53714287281036377</v>
      </c>
      <c r="H63" s="21">
        <v>0.39428570866584778</v>
      </c>
      <c r="I63" s="21">
        <v>0.73142856359481812</v>
      </c>
      <c r="J63" s="21">
        <v>0.46511629223823547</v>
      </c>
      <c r="K63" s="21">
        <v>0.61764705181121826</v>
      </c>
      <c r="L63" s="2" t="s">
        <v>21</v>
      </c>
      <c r="M63" s="2"/>
      <c r="N63" s="2"/>
      <c r="O63" s="2"/>
      <c r="P63" s="2"/>
      <c r="Q63" s="2"/>
      <c r="R63" s="2"/>
      <c r="S63" s="2"/>
      <c r="T63" s="2"/>
      <c r="U63" s="2"/>
      <c r="V63" s="2"/>
      <c r="W63" s="2"/>
      <c r="X63" s="2"/>
      <c r="Y63" s="2"/>
      <c r="Z63" s="2"/>
    </row>
    <row r="64" spans="1:26" ht="12.75" customHeight="1" x14ac:dyDescent="0.25">
      <c r="A64" s="2" t="s">
        <v>82</v>
      </c>
      <c r="B64" s="26">
        <v>6.4852447509765625</v>
      </c>
      <c r="C64" s="21">
        <v>0.66972476243972778</v>
      </c>
      <c r="D64" s="21">
        <v>0.22727273404598236</v>
      </c>
      <c r="E64" s="21">
        <v>0.32727271318435669</v>
      </c>
      <c r="F64" s="21">
        <v>0.7818182110786438</v>
      </c>
      <c r="G64" s="21">
        <v>0.6454545259475708</v>
      </c>
      <c r="H64" s="21">
        <v>0.55454546213150024</v>
      </c>
      <c r="I64" s="21">
        <v>0.7818182110786438</v>
      </c>
      <c r="J64" s="21">
        <v>0.42592594027519226</v>
      </c>
      <c r="K64" s="21">
        <v>0.60550457239151001</v>
      </c>
      <c r="L64" s="5" t="s">
        <v>18</v>
      </c>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15" t="e">
        <f>#REF!</f>
        <v>#REF!</v>
      </c>
      <c r="B66" s="16">
        <f t="shared" ref="B66:K66" si="0">SUMIF($A$2:$A$64,$A$66,B2:B64)</f>
        <v>0</v>
      </c>
      <c r="C66" s="17">
        <f t="shared" si="0"/>
        <v>0</v>
      </c>
      <c r="D66" s="17">
        <f t="shared" si="0"/>
        <v>0</v>
      </c>
      <c r="E66" s="17">
        <f t="shared" si="0"/>
        <v>0</v>
      </c>
      <c r="F66" s="17">
        <f t="shared" si="0"/>
        <v>0</v>
      </c>
      <c r="G66" s="17">
        <f t="shared" si="0"/>
        <v>0</v>
      </c>
      <c r="H66" s="17">
        <f t="shared" si="0"/>
        <v>0</v>
      </c>
      <c r="I66" s="17">
        <f t="shared" si="0"/>
        <v>0</v>
      </c>
      <c r="J66" s="17">
        <f t="shared" si="0"/>
        <v>0</v>
      </c>
      <c r="K66" s="17">
        <f t="shared" si="0"/>
        <v>0</v>
      </c>
      <c r="L66" s="2"/>
      <c r="M66" s="2"/>
      <c r="N66" s="2"/>
      <c r="O66" s="2"/>
      <c r="P66" s="2"/>
      <c r="Q66" s="2"/>
      <c r="R66" s="2"/>
      <c r="S66" s="2"/>
      <c r="T66" s="2"/>
      <c r="U66" s="2"/>
      <c r="V66" s="2"/>
      <c r="W66" s="2"/>
      <c r="X66" s="2"/>
      <c r="Y66" s="2"/>
      <c r="Z66" s="2"/>
    </row>
    <row r="67" spans="1:26" ht="12.75" customHeight="1" x14ac:dyDescent="0.25">
      <c r="A67" s="2" t="s">
        <v>102</v>
      </c>
      <c r="B67" s="19">
        <f t="shared" ref="B67:K67" si="1">MIN(B2:B64)</f>
        <v>5.2863540649414063</v>
      </c>
      <c r="C67" s="21">
        <f t="shared" si="1"/>
        <v>0.25</v>
      </c>
      <c r="D67" s="21">
        <f t="shared" si="1"/>
        <v>8.849557489156723E-2</v>
      </c>
      <c r="E67" s="21">
        <f t="shared" si="1"/>
        <v>0.1666666716337204</v>
      </c>
      <c r="F67" s="21">
        <f t="shared" si="1"/>
        <v>0.58490568399429321</v>
      </c>
      <c r="G67" s="21">
        <f t="shared" si="1"/>
        <v>0.5</v>
      </c>
      <c r="H67" s="21">
        <f t="shared" si="1"/>
        <v>0.29245284199714661</v>
      </c>
      <c r="I67" s="21">
        <f t="shared" si="1"/>
        <v>0.52293580770492554</v>
      </c>
      <c r="J67" s="21">
        <f t="shared" si="1"/>
        <v>0.10687022656202316</v>
      </c>
      <c r="K67" s="21">
        <f t="shared" si="1"/>
        <v>0.55339807271957397</v>
      </c>
      <c r="L67" s="2"/>
      <c r="M67" s="2"/>
      <c r="N67" s="2"/>
      <c r="O67" s="2"/>
      <c r="P67" s="2"/>
      <c r="Q67" s="2"/>
      <c r="R67" s="2"/>
      <c r="S67" s="2"/>
      <c r="T67" s="2"/>
      <c r="U67" s="2"/>
      <c r="V67" s="2"/>
      <c r="W67" s="2"/>
      <c r="X67" s="2"/>
      <c r="Y67" s="2"/>
      <c r="Z67" s="2"/>
    </row>
    <row r="68" spans="1:26" ht="12.75" customHeight="1" x14ac:dyDescent="0.25">
      <c r="A68" s="2" t="s">
        <v>103</v>
      </c>
      <c r="B68" s="19">
        <f t="shared" ref="B68:K68" si="2">MEDIAN(B2:B64)</f>
        <v>6.326934814453125</v>
      </c>
      <c r="C68" s="21">
        <f t="shared" si="2"/>
        <v>0.53278690576553345</v>
      </c>
      <c r="D68" s="21">
        <f t="shared" si="2"/>
        <v>0.2601625919342041</v>
      </c>
      <c r="E68" s="21">
        <f t="shared" si="2"/>
        <v>0.39622640609741211</v>
      </c>
      <c r="F68" s="21">
        <f t="shared" si="2"/>
        <v>0.77235770225524902</v>
      </c>
      <c r="G68" s="21">
        <f t="shared" si="2"/>
        <v>0.70895522832870483</v>
      </c>
      <c r="H68" s="21">
        <f t="shared" si="2"/>
        <v>0.50862067937850952</v>
      </c>
      <c r="I68" s="21">
        <f t="shared" si="2"/>
        <v>0.76315790414810181</v>
      </c>
      <c r="J68" s="21">
        <f t="shared" si="2"/>
        <v>0.46268656849861145</v>
      </c>
      <c r="K68" s="21">
        <f t="shared" si="2"/>
        <v>0.71681416034698486</v>
      </c>
      <c r="L68" s="2"/>
      <c r="M68" s="2"/>
      <c r="N68" s="2"/>
      <c r="O68" s="2"/>
      <c r="P68" s="2"/>
      <c r="Q68" s="2"/>
      <c r="R68" s="2"/>
      <c r="S68" s="2"/>
      <c r="T68" s="2"/>
      <c r="U68" s="2"/>
      <c r="V68" s="2"/>
      <c r="W68" s="2"/>
      <c r="X68" s="2"/>
      <c r="Y68" s="2"/>
      <c r="Z68" s="2"/>
    </row>
    <row r="69" spans="1:26" ht="12.75" customHeight="1" x14ac:dyDescent="0.25">
      <c r="A69" s="2" t="s">
        <v>104</v>
      </c>
      <c r="B69" s="19">
        <f t="shared" ref="B69:K69" si="3">MAX(B2:B64)</f>
        <v>7.4060702323913574</v>
      </c>
      <c r="C69" s="21">
        <f t="shared" si="3"/>
        <v>0.70520234107971191</v>
      </c>
      <c r="D69" s="21">
        <f t="shared" si="3"/>
        <v>0.4444444477558136</v>
      </c>
      <c r="E69" s="21">
        <f t="shared" si="3"/>
        <v>0.72448980808258057</v>
      </c>
      <c r="F69" s="21">
        <f t="shared" si="3"/>
        <v>0.92035400867462158</v>
      </c>
      <c r="G69" s="21">
        <f t="shared" si="3"/>
        <v>0.91044777631759644</v>
      </c>
      <c r="H69" s="21">
        <f t="shared" si="3"/>
        <v>0.7985074520111084</v>
      </c>
      <c r="I69" s="21">
        <f t="shared" si="3"/>
        <v>0.94690263271331787</v>
      </c>
      <c r="J69" s="21">
        <f t="shared" si="3"/>
        <v>0.66666668653488159</v>
      </c>
      <c r="K69" s="21">
        <f t="shared" si="3"/>
        <v>0.94642859697341919</v>
      </c>
      <c r="L69" s="2"/>
      <c r="M69" s="2"/>
      <c r="N69" s="2"/>
      <c r="O69" s="2"/>
      <c r="P69" s="2"/>
      <c r="Q69" s="2"/>
      <c r="R69" s="2"/>
      <c r="S69" s="2"/>
      <c r="T69" s="2"/>
      <c r="U69" s="2"/>
      <c r="V69" s="2"/>
      <c r="W69" s="2"/>
      <c r="X69" s="2"/>
      <c r="Y69" s="2"/>
      <c r="Z69" s="2"/>
    </row>
    <row r="70" spans="1:26" ht="12.75" customHeight="1" x14ac:dyDescent="0.25">
      <c r="A70" s="2" t="s">
        <v>105</v>
      </c>
      <c r="B70" s="10" t="e">
        <f t="shared" ref="B70:C70" si="4">RANK(B66,B2:B64,0)</f>
        <v>#N/A</v>
      </c>
      <c r="C70" s="10" t="e">
        <f t="shared" si="4"/>
        <v>#N/A</v>
      </c>
      <c r="D70" s="10" t="e">
        <f t="shared" ref="D70:E70" si="5">RANK(D66,D2:D64,1)</f>
        <v>#N/A</v>
      </c>
      <c r="E70" s="10" t="e">
        <f t="shared" si="5"/>
        <v>#N/A</v>
      </c>
      <c r="F70" s="10" t="e">
        <f t="shared" ref="F70:G70" si="6">RANK(F66,F2:F64,0)</f>
        <v>#N/A</v>
      </c>
      <c r="G70" s="10" t="e">
        <f t="shared" si="6"/>
        <v>#N/A</v>
      </c>
      <c r="H70" s="10" t="e">
        <f>RANK(H66,H2:H64,1)</f>
        <v>#N/A</v>
      </c>
      <c r="I70" s="10" t="e">
        <f t="shared" ref="I70:K70" si="7">RANK(I66,I2:I64,0)</f>
        <v>#N/A</v>
      </c>
      <c r="J70" s="10" t="e">
        <f t="shared" si="7"/>
        <v>#N/A</v>
      </c>
      <c r="K70" s="10" t="e">
        <f t="shared" si="7"/>
        <v>#N/A</v>
      </c>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1" width="13.42578125" customWidth="1"/>
    <col min="2" max="2" width="11.28515625" customWidth="1"/>
    <col min="3" max="5" width="17.28515625" customWidth="1"/>
    <col min="6" max="7" width="25" customWidth="1"/>
    <col min="8" max="8" width="26.42578125" customWidth="1"/>
    <col min="9" max="9" width="17.28515625" customWidth="1"/>
    <col min="10" max="10" width="21.7109375" customWidth="1"/>
    <col min="11" max="11" width="22.28515625" customWidth="1"/>
    <col min="12" max="12" width="19.42578125" customWidth="1"/>
    <col min="13" max="13" width="22.140625" customWidth="1"/>
    <col min="14" max="14" width="17.28515625" customWidth="1"/>
    <col min="15" max="15" width="22.140625" customWidth="1"/>
    <col min="16" max="16" width="37.28515625" customWidth="1"/>
    <col min="17" max="26" width="8.7109375" customWidth="1"/>
  </cols>
  <sheetData>
    <row r="1" spans="1:26" ht="12.75" customHeight="1" x14ac:dyDescent="0.25">
      <c r="A1" s="39" t="s">
        <v>0</v>
      </c>
      <c r="B1" s="39" t="s">
        <v>8</v>
      </c>
      <c r="C1" s="39" t="s">
        <v>188</v>
      </c>
      <c r="D1" s="39" t="s">
        <v>189</v>
      </c>
      <c r="E1" s="39" t="s">
        <v>190</v>
      </c>
      <c r="F1" s="39" t="s">
        <v>191</v>
      </c>
      <c r="G1" s="39" t="s">
        <v>192</v>
      </c>
      <c r="H1" s="39" t="s">
        <v>193</v>
      </c>
      <c r="I1" s="39" t="s">
        <v>194</v>
      </c>
      <c r="J1" s="39" t="s">
        <v>195</v>
      </c>
      <c r="K1" s="39" t="s">
        <v>196</v>
      </c>
      <c r="L1" s="39" t="s">
        <v>197</v>
      </c>
      <c r="M1" s="39" t="s">
        <v>198</v>
      </c>
      <c r="N1" s="39" t="s">
        <v>199</v>
      </c>
      <c r="O1" s="39" t="s">
        <v>200</v>
      </c>
      <c r="P1" s="1" t="s">
        <v>13</v>
      </c>
      <c r="Q1" s="2"/>
      <c r="R1" s="2"/>
      <c r="S1" s="2"/>
      <c r="T1" s="2"/>
      <c r="U1" s="2"/>
      <c r="V1" s="2"/>
      <c r="W1" s="2"/>
      <c r="X1" s="2"/>
      <c r="Y1" s="2"/>
      <c r="Z1" s="2"/>
    </row>
    <row r="2" spans="1:26" ht="12.75" customHeight="1" x14ac:dyDescent="0.25">
      <c r="A2" s="2" t="s">
        <v>14</v>
      </c>
      <c r="B2" s="19">
        <v>7.0004277229309082</v>
      </c>
      <c r="C2" s="21">
        <v>0.52380955219268799</v>
      </c>
      <c r="D2" s="21">
        <v>0.63636362552642822</v>
      </c>
      <c r="E2" s="21">
        <v>0.96296298503875732</v>
      </c>
      <c r="F2" s="21">
        <v>0.89655172824859619</v>
      </c>
      <c r="G2" s="21">
        <v>0.86206895112991333</v>
      </c>
      <c r="H2" s="21">
        <v>0.80645161867141724</v>
      </c>
      <c r="I2" s="21">
        <v>0.86666667461395264</v>
      </c>
      <c r="J2" s="21">
        <v>0.37007874250411987</v>
      </c>
      <c r="K2" s="21">
        <v>0.13793103396892548</v>
      </c>
      <c r="L2" s="21">
        <v>0.1150442510843277</v>
      </c>
      <c r="M2" s="21">
        <v>0.40740740299224854</v>
      </c>
      <c r="N2" s="34">
        <v>3.2617844641208649E-2</v>
      </c>
      <c r="O2" s="21">
        <v>0.95483869314193726</v>
      </c>
      <c r="P2" s="2" t="s">
        <v>15</v>
      </c>
      <c r="Q2" s="2"/>
      <c r="R2" s="2"/>
      <c r="S2" s="2"/>
      <c r="T2" s="2"/>
      <c r="U2" s="2"/>
      <c r="V2" s="2"/>
      <c r="W2" s="2"/>
      <c r="X2" s="2"/>
      <c r="Y2" s="2"/>
      <c r="Z2" s="2"/>
    </row>
    <row r="3" spans="1:26" ht="12.75" customHeight="1" x14ac:dyDescent="0.25">
      <c r="A3" s="2" t="s">
        <v>29</v>
      </c>
      <c r="B3" s="19">
        <v>8.0534887313842773</v>
      </c>
      <c r="C3" s="21">
        <v>0.86956518888473511</v>
      </c>
      <c r="D3" s="21">
        <v>0.88461536169052124</v>
      </c>
      <c r="E3" s="21">
        <v>0.86363637447357178</v>
      </c>
      <c r="F3" s="21">
        <v>0.8913043737411499</v>
      </c>
      <c r="G3" s="21">
        <v>0.8888888955116272</v>
      </c>
      <c r="H3" s="21">
        <v>0.875</v>
      </c>
      <c r="I3" s="21">
        <v>0.89361703395843506</v>
      </c>
      <c r="J3" s="21">
        <v>0.65441179275512695</v>
      </c>
      <c r="K3" s="21">
        <v>0.66666668653488159</v>
      </c>
      <c r="L3" s="21">
        <v>0.16260161995887756</v>
      </c>
      <c r="M3" s="21">
        <v>0.54545456171035767</v>
      </c>
      <c r="N3" s="34">
        <v>4.3345373123884201E-2</v>
      </c>
      <c r="O3" s="21">
        <v>0.97863245010375977</v>
      </c>
      <c r="P3" s="2" t="s">
        <v>24</v>
      </c>
      <c r="Q3" s="2"/>
      <c r="R3" s="2"/>
      <c r="S3" s="2"/>
      <c r="T3" s="2"/>
      <c r="U3" s="2"/>
      <c r="V3" s="2"/>
      <c r="W3" s="2"/>
      <c r="X3" s="2"/>
      <c r="Y3" s="2"/>
      <c r="Z3" s="2"/>
    </row>
    <row r="4" spans="1:26" ht="12.75" customHeight="1" x14ac:dyDescent="0.25">
      <c r="A4" s="2" t="s">
        <v>17</v>
      </c>
      <c r="B4" s="19">
        <v>7.3016176223754883</v>
      </c>
      <c r="C4" s="21">
        <v>0.74468082189559937</v>
      </c>
      <c r="D4" s="21">
        <v>0.62790697813034058</v>
      </c>
      <c r="E4" s="21">
        <v>0.69999998807907104</v>
      </c>
      <c r="F4" s="21">
        <v>0.80392158031463623</v>
      </c>
      <c r="G4" s="21">
        <v>0.8125</v>
      </c>
      <c r="H4" s="21">
        <v>0.78431373834609985</v>
      </c>
      <c r="I4" s="21">
        <v>0.86363637447357178</v>
      </c>
      <c r="J4" s="21">
        <v>0.52631580829620361</v>
      </c>
      <c r="K4" s="21">
        <v>0.27777779102325439</v>
      </c>
      <c r="L4" s="21">
        <v>0.15929204225540161</v>
      </c>
      <c r="M4" s="21">
        <v>0.47368422150611877</v>
      </c>
      <c r="N4" s="34">
        <v>4.7942239791154861E-2</v>
      </c>
      <c r="O4" s="21">
        <v>0.97590363025665283</v>
      </c>
      <c r="P4" s="2" t="s">
        <v>18</v>
      </c>
      <c r="Q4" s="2"/>
      <c r="R4" s="2"/>
      <c r="S4" s="2"/>
      <c r="T4" s="2"/>
      <c r="U4" s="2"/>
      <c r="V4" s="2"/>
      <c r="W4" s="2"/>
      <c r="X4" s="2"/>
      <c r="Y4" s="2"/>
      <c r="Z4" s="2"/>
    </row>
    <row r="5" spans="1:26" ht="12.75" customHeight="1" x14ac:dyDescent="0.25">
      <c r="A5" s="2" t="s">
        <v>19</v>
      </c>
      <c r="B5" s="19">
        <v>6.4723629951477051</v>
      </c>
      <c r="C5" s="21">
        <v>0.70588237047195435</v>
      </c>
      <c r="D5" s="21">
        <v>0.96551722288131714</v>
      </c>
      <c r="E5" s="21">
        <v>0.79166668653488159</v>
      </c>
      <c r="F5" s="21">
        <v>0.77419352531433105</v>
      </c>
      <c r="G5" s="21">
        <v>0.81481480598449707</v>
      </c>
      <c r="H5" s="21">
        <v>0.74074071645736694</v>
      </c>
      <c r="I5" s="21">
        <v>0.875</v>
      </c>
      <c r="J5" s="21">
        <v>0.625</v>
      </c>
      <c r="K5" s="21">
        <v>0.53571426868438721</v>
      </c>
      <c r="L5" s="21">
        <v>0.27272728085517883</v>
      </c>
      <c r="M5" s="21">
        <v>0.79166668653488159</v>
      </c>
      <c r="N5" s="34">
        <v>2.1709633991122246E-2</v>
      </c>
      <c r="O5" s="21">
        <v>0.5625</v>
      </c>
      <c r="P5" s="2" t="s">
        <v>18</v>
      </c>
      <c r="Q5" s="2"/>
      <c r="R5" s="2"/>
      <c r="S5" s="2"/>
      <c r="T5" s="2"/>
      <c r="U5" s="2"/>
      <c r="V5" s="2"/>
      <c r="W5" s="2"/>
      <c r="X5" s="2"/>
      <c r="Y5" s="2"/>
      <c r="Z5" s="2"/>
    </row>
    <row r="6" spans="1:26" ht="12.75" customHeight="1" x14ac:dyDescent="0.25">
      <c r="A6" s="2" t="s">
        <v>16</v>
      </c>
      <c r="B6" s="19">
        <v>5.8158879280090332</v>
      </c>
      <c r="C6" s="21">
        <v>0.30000001192092896</v>
      </c>
      <c r="D6" s="21">
        <v>0.4444444477558136</v>
      </c>
      <c r="E6" s="21">
        <v>0.35294118523597717</v>
      </c>
      <c r="F6" s="21">
        <v>0.91071426868438721</v>
      </c>
      <c r="G6" s="21">
        <v>0.90566039085388184</v>
      </c>
      <c r="H6" s="21">
        <v>0.81818181276321411</v>
      </c>
      <c r="I6" s="21">
        <v>0.37931033968925476</v>
      </c>
      <c r="J6" s="21">
        <v>0.15999999642372131</v>
      </c>
      <c r="K6" s="21">
        <v>5.7692307978868484E-2</v>
      </c>
      <c r="L6" s="21">
        <v>0.59036141633987427</v>
      </c>
      <c r="M6" s="21">
        <v>0.72727274894714355</v>
      </c>
      <c r="N6" s="34">
        <v>3.378378227353096E-2</v>
      </c>
      <c r="O6" s="21">
        <v>0.88749998807907104</v>
      </c>
      <c r="P6" s="2" t="s">
        <v>15</v>
      </c>
      <c r="Q6" s="2"/>
      <c r="R6" s="2"/>
      <c r="S6" s="2"/>
      <c r="T6" s="2"/>
      <c r="U6" s="2"/>
      <c r="V6" s="2"/>
      <c r="W6" s="2"/>
      <c r="X6" s="2"/>
      <c r="Y6" s="2"/>
      <c r="Z6" s="2"/>
    </row>
    <row r="7" spans="1:26" ht="12.75" customHeight="1" x14ac:dyDescent="0.25">
      <c r="A7" s="2" t="s">
        <v>20</v>
      </c>
      <c r="B7" s="19">
        <v>7.4071464538574219</v>
      </c>
      <c r="C7" s="21">
        <v>0.70270270109176636</v>
      </c>
      <c r="D7" s="21">
        <v>0.82352942228317261</v>
      </c>
      <c r="E7" s="21">
        <v>0.77777779102325439</v>
      </c>
      <c r="F7" s="21">
        <v>0.78787881135940552</v>
      </c>
      <c r="G7" s="21">
        <v>0.79310345649719238</v>
      </c>
      <c r="H7" s="21">
        <v>0.86206895112991333</v>
      </c>
      <c r="I7" s="21">
        <v>0.81481480598449707</v>
      </c>
      <c r="J7" s="21">
        <v>0.42580646276473999</v>
      </c>
      <c r="K7" s="21">
        <v>0.6428571343421936</v>
      </c>
      <c r="L7" s="21">
        <v>0.15131579339504242</v>
      </c>
      <c r="M7" s="21">
        <v>0.80769228935241699</v>
      </c>
      <c r="N7" s="34">
        <v>3.5656794905662537E-2</v>
      </c>
      <c r="O7" s="21">
        <v>0.98419862985610962</v>
      </c>
      <c r="P7" s="2" t="s">
        <v>21</v>
      </c>
      <c r="Q7" s="2"/>
      <c r="R7" s="2"/>
      <c r="S7" s="2"/>
      <c r="T7" s="2"/>
      <c r="U7" s="2"/>
      <c r="V7" s="2"/>
      <c r="W7" s="2"/>
      <c r="X7" s="2"/>
      <c r="Y7" s="2"/>
      <c r="Z7" s="2"/>
    </row>
    <row r="8" spans="1:26" ht="12.75" customHeight="1" x14ac:dyDescent="0.25">
      <c r="A8" s="2" t="s">
        <v>22</v>
      </c>
      <c r="B8" s="19">
        <v>7.9422311782836914</v>
      </c>
      <c r="C8" s="21">
        <v>0.87999999523162842</v>
      </c>
      <c r="D8" s="21">
        <v>0.89473682641983032</v>
      </c>
      <c r="E8" s="21">
        <v>0.94999998807907104</v>
      </c>
      <c r="F8" s="21">
        <v>0.85000002384185791</v>
      </c>
      <c r="G8" s="21">
        <v>0.8571428656578064</v>
      </c>
      <c r="H8" s="21">
        <v>0.89473682641983032</v>
      </c>
      <c r="I8" s="21">
        <v>0.94444441795349121</v>
      </c>
      <c r="J8" s="21">
        <v>0.77205884456634521</v>
      </c>
      <c r="K8" s="21">
        <v>0.5</v>
      </c>
      <c r="L8" s="21">
        <v>7.9999998211860657E-2</v>
      </c>
      <c r="M8" s="21">
        <v>0.4285714328289032</v>
      </c>
      <c r="N8" s="34">
        <v>3.8484137505292892E-2</v>
      </c>
      <c r="O8" s="21">
        <v>0.94656491279602051</v>
      </c>
      <c r="P8" s="2" t="s">
        <v>15</v>
      </c>
      <c r="Q8" s="2"/>
      <c r="R8" s="2"/>
      <c r="S8" s="2"/>
      <c r="T8" s="2"/>
      <c r="U8" s="2"/>
      <c r="V8" s="2"/>
      <c r="W8" s="2"/>
      <c r="X8" s="2"/>
      <c r="Y8" s="2"/>
      <c r="Z8" s="2"/>
    </row>
    <row r="9" spans="1:26" ht="12.75" customHeight="1" x14ac:dyDescent="0.25">
      <c r="A9" s="2" t="s">
        <v>25</v>
      </c>
      <c r="B9" s="19">
        <v>6.9385604858398438</v>
      </c>
      <c r="C9" s="21">
        <v>0.47222220897674561</v>
      </c>
      <c r="D9" s="21">
        <v>0.58139532804489136</v>
      </c>
      <c r="E9" s="21">
        <v>0.64444446563720703</v>
      </c>
      <c r="F9" s="21">
        <v>0.82978725433349609</v>
      </c>
      <c r="G9" s="21">
        <v>0.91304349899291992</v>
      </c>
      <c r="H9" s="21">
        <v>0.88636362552642822</v>
      </c>
      <c r="I9" s="21">
        <v>0.73469388484954834</v>
      </c>
      <c r="J9" s="21">
        <v>0.44615384936332703</v>
      </c>
      <c r="K9" s="21">
        <v>0.24137930572032928</v>
      </c>
      <c r="L9" s="21">
        <v>0.22935779392719269</v>
      </c>
      <c r="M9" s="21">
        <v>0.5</v>
      </c>
      <c r="N9" s="34">
        <v>4.1731502860784531E-2</v>
      </c>
      <c r="O9" s="21">
        <v>0.97627121210098267</v>
      </c>
      <c r="P9" s="2" t="s">
        <v>26</v>
      </c>
      <c r="Q9" s="2"/>
      <c r="R9" s="2"/>
      <c r="S9" s="2"/>
      <c r="T9" s="2"/>
      <c r="U9" s="2"/>
      <c r="V9" s="2"/>
      <c r="W9" s="2"/>
      <c r="X9" s="2"/>
      <c r="Y9" s="2"/>
      <c r="Z9" s="2"/>
    </row>
    <row r="10" spans="1:26" ht="12.75" customHeight="1" x14ac:dyDescent="0.25">
      <c r="A10" s="2" t="s">
        <v>23</v>
      </c>
      <c r="B10" s="19">
        <v>7.8180828094482422</v>
      </c>
      <c r="C10" s="21">
        <v>0.8913043737411499</v>
      </c>
      <c r="D10" s="21">
        <v>0.875</v>
      </c>
      <c r="E10" s="21">
        <v>0.87878787517547607</v>
      </c>
      <c r="F10" s="21">
        <v>0.78571426868438721</v>
      </c>
      <c r="G10" s="21">
        <v>0.8888888955116272</v>
      </c>
      <c r="H10" s="21">
        <v>0.87999999523162842</v>
      </c>
      <c r="I10" s="21">
        <v>0.90909093618392944</v>
      </c>
      <c r="J10" s="21">
        <v>0.7336956262588501</v>
      </c>
      <c r="K10" s="21">
        <v>0.31999999284744263</v>
      </c>
      <c r="L10" s="21">
        <v>9.7142860293388367E-2</v>
      </c>
      <c r="M10" s="21">
        <v>0.57692307233810425</v>
      </c>
      <c r="N10" s="34">
        <v>3.5947807133197784E-2</v>
      </c>
      <c r="O10" s="21">
        <v>0.99272435903549194</v>
      </c>
      <c r="P10" s="2" t="s">
        <v>24</v>
      </c>
      <c r="Q10" s="2"/>
      <c r="R10" s="2"/>
      <c r="S10" s="2"/>
      <c r="T10" s="2"/>
      <c r="U10" s="2"/>
      <c r="V10" s="2"/>
      <c r="W10" s="2"/>
      <c r="X10" s="2"/>
      <c r="Y10" s="2"/>
      <c r="Z10" s="2"/>
    </row>
    <row r="11" spans="1:26" ht="12.75" customHeight="1" x14ac:dyDescent="0.25">
      <c r="A11" s="2" t="s">
        <v>27</v>
      </c>
      <c r="B11" s="19">
        <v>6.9816708564758301</v>
      </c>
      <c r="C11" s="21">
        <v>0.72727274894714355</v>
      </c>
      <c r="D11" s="21">
        <v>0.73809522390365601</v>
      </c>
      <c r="E11" s="21">
        <v>0.72727274894714355</v>
      </c>
      <c r="F11" s="21">
        <v>0.76315790414810181</v>
      </c>
      <c r="G11" s="21">
        <v>0.69444441795349121</v>
      </c>
      <c r="H11" s="21">
        <v>0.70588237047195435</v>
      </c>
      <c r="I11" s="21">
        <v>0.80000001192092896</v>
      </c>
      <c r="J11" s="21">
        <v>0.63207548856735229</v>
      </c>
      <c r="K11" s="21">
        <v>0.59259259700775146</v>
      </c>
      <c r="L11" s="21">
        <v>0.25</v>
      </c>
      <c r="M11" s="21">
        <v>0.74193549156188965</v>
      </c>
      <c r="N11" s="34">
        <v>3.3884793519973755E-2</v>
      </c>
      <c r="O11" s="21">
        <v>0.92941176891326904</v>
      </c>
      <c r="P11" s="2" t="s">
        <v>24</v>
      </c>
      <c r="Q11" s="2"/>
      <c r="R11" s="2"/>
      <c r="S11" s="2"/>
      <c r="T11" s="2"/>
      <c r="U11" s="2"/>
      <c r="V11" s="2"/>
      <c r="W11" s="2"/>
      <c r="X11" s="2"/>
      <c r="Y11" s="2"/>
      <c r="Z11" s="2"/>
    </row>
    <row r="12" spans="1:26" ht="12.75" customHeight="1" x14ac:dyDescent="0.25">
      <c r="A12" s="2" t="s">
        <v>28</v>
      </c>
      <c r="B12" s="19">
        <v>6.9365725517272949</v>
      </c>
      <c r="C12" s="21">
        <v>0.68571430444717407</v>
      </c>
      <c r="D12" s="21">
        <v>0.77272725105285645</v>
      </c>
      <c r="E12" s="21">
        <v>0.66666668653488159</v>
      </c>
      <c r="F12" s="21">
        <v>0.58333331346511841</v>
      </c>
      <c r="G12" s="21">
        <v>0.57894736528396606</v>
      </c>
      <c r="H12" s="21">
        <v>0.58333331346511841</v>
      </c>
      <c r="I12" s="21">
        <v>0.60000002384185791</v>
      </c>
      <c r="J12" s="21">
        <v>0.60000002384185791</v>
      </c>
      <c r="K12" s="21">
        <v>0.69230771064758301</v>
      </c>
      <c r="L12" s="21">
        <v>9.4339624047279358E-2</v>
      </c>
      <c r="M12" s="21">
        <v>0.6428571343421936</v>
      </c>
      <c r="N12" s="34">
        <v>5.2105948328971863E-2</v>
      </c>
      <c r="O12" s="21">
        <v>0.97083336114883423</v>
      </c>
      <c r="P12" s="2" t="s">
        <v>26</v>
      </c>
      <c r="Q12" s="2"/>
      <c r="R12" s="2"/>
      <c r="S12" s="2"/>
      <c r="T12" s="2"/>
      <c r="U12" s="2"/>
      <c r="V12" s="2"/>
      <c r="W12" s="2"/>
      <c r="X12" s="2"/>
      <c r="Y12" s="2"/>
      <c r="Z12" s="2"/>
    </row>
    <row r="13" spans="1:26" ht="12.75" customHeight="1" x14ac:dyDescent="0.25">
      <c r="A13" s="2" t="s">
        <v>30</v>
      </c>
      <c r="B13" s="19">
        <v>7.0950775146484375</v>
      </c>
      <c r="C13" s="21">
        <v>0.65714287757873535</v>
      </c>
      <c r="D13" s="21">
        <v>0.63333332538604736</v>
      </c>
      <c r="E13" s="21">
        <v>0.8461538553237915</v>
      </c>
      <c r="F13" s="21">
        <v>0.78260868787765503</v>
      </c>
      <c r="G13" s="21">
        <v>0.79166668653488159</v>
      </c>
      <c r="H13" s="21">
        <v>0.77777779102325439</v>
      </c>
      <c r="I13" s="21">
        <v>0.91304349899291992</v>
      </c>
      <c r="J13" s="21">
        <v>0.61864405870437622</v>
      </c>
      <c r="K13" s="21">
        <v>0.26315790414810181</v>
      </c>
      <c r="L13" s="21">
        <v>0.10619468986988068</v>
      </c>
      <c r="M13" s="21">
        <v>0.52941179275512695</v>
      </c>
      <c r="N13" s="34">
        <v>3.6626257002353668E-2</v>
      </c>
      <c r="O13" s="21">
        <v>0.95070421695709229</v>
      </c>
      <c r="P13" s="2" t="s">
        <v>15</v>
      </c>
      <c r="Q13" s="2"/>
      <c r="R13" s="2"/>
      <c r="S13" s="2"/>
      <c r="T13" s="2"/>
      <c r="U13" s="2"/>
      <c r="V13" s="2"/>
      <c r="W13" s="2"/>
      <c r="X13" s="2"/>
      <c r="Y13" s="2"/>
      <c r="Z13" s="2"/>
    </row>
    <row r="14" spans="1:26" ht="12.75" customHeight="1" x14ac:dyDescent="0.25">
      <c r="A14" s="2" t="s">
        <v>32</v>
      </c>
      <c r="B14" s="19">
        <v>7.6724343299865723</v>
      </c>
      <c r="C14" s="21">
        <v>0.57142859697341919</v>
      </c>
      <c r="D14" s="21">
        <v>0.77777779102325439</v>
      </c>
      <c r="E14" s="21">
        <v>0.66666668653488159</v>
      </c>
      <c r="F14" s="21">
        <v>0.88461536169052124</v>
      </c>
      <c r="G14" s="21">
        <v>0.95833331346511841</v>
      </c>
      <c r="H14" s="21">
        <v>0.9047619104385376</v>
      </c>
      <c r="I14" s="21">
        <v>0.89999997615814209</v>
      </c>
      <c r="J14" s="21">
        <v>0.45945945382118225</v>
      </c>
      <c r="K14" s="21">
        <v>0.45454546809196472</v>
      </c>
      <c r="L14" s="21">
        <v>0.18461538851261139</v>
      </c>
      <c r="M14" s="21">
        <v>0.4285714328289032</v>
      </c>
      <c r="N14" s="34">
        <v>5.145346000790596E-2</v>
      </c>
      <c r="O14" s="21">
        <v>0.98228347301483154</v>
      </c>
      <c r="P14" s="2" t="s">
        <v>15</v>
      </c>
      <c r="Q14" s="2"/>
      <c r="R14" s="2"/>
      <c r="S14" s="2"/>
      <c r="T14" s="2"/>
      <c r="U14" s="2"/>
      <c r="V14" s="2"/>
      <c r="W14" s="2"/>
      <c r="X14" s="2"/>
      <c r="Y14" s="2"/>
      <c r="Z14" s="2"/>
    </row>
    <row r="15" spans="1:26" ht="12.75" customHeight="1" x14ac:dyDescent="0.25">
      <c r="A15" s="2" t="s">
        <v>31</v>
      </c>
      <c r="B15" s="19">
        <v>6.1392574310302734</v>
      </c>
      <c r="C15" s="21">
        <v>0.44999998807907104</v>
      </c>
      <c r="D15" s="21">
        <v>0.78571426868438721</v>
      </c>
      <c r="E15" s="21">
        <v>0.75</v>
      </c>
      <c r="F15" s="21">
        <v>0.80000001192092896</v>
      </c>
      <c r="G15" s="21">
        <v>0.66666668653488159</v>
      </c>
      <c r="H15" s="21">
        <v>0.52941179275512695</v>
      </c>
      <c r="I15" s="21">
        <v>0.58823531866073608</v>
      </c>
      <c r="J15" s="21">
        <v>0.60526317358016968</v>
      </c>
      <c r="K15" s="21">
        <v>0.34999999403953552</v>
      </c>
      <c r="L15" s="21">
        <v>0.10000000149011612</v>
      </c>
      <c r="M15" s="21">
        <v>0.66666668653488159</v>
      </c>
      <c r="N15" s="34">
        <v>3.0936455354094505E-2</v>
      </c>
      <c r="O15" s="21">
        <v>0.81081080436706543</v>
      </c>
      <c r="P15" s="2" t="s">
        <v>18</v>
      </c>
      <c r="Q15" s="2"/>
      <c r="R15" s="2"/>
      <c r="S15" s="2"/>
      <c r="T15" s="2"/>
      <c r="U15" s="2"/>
      <c r="V15" s="2"/>
      <c r="W15" s="2"/>
      <c r="X15" s="2"/>
      <c r="Y15" s="2"/>
      <c r="Z15" s="2"/>
    </row>
    <row r="16" spans="1:26" ht="12.75" customHeight="1" x14ac:dyDescent="0.25">
      <c r="A16" s="2" t="s">
        <v>33</v>
      </c>
      <c r="B16" s="19">
        <v>7.660616397857666</v>
      </c>
      <c r="C16" s="21">
        <v>0.68421053886413574</v>
      </c>
      <c r="D16" s="21">
        <v>0.60000002384185791</v>
      </c>
      <c r="E16" s="21">
        <v>0.69230771064758301</v>
      </c>
      <c r="F16" s="21">
        <v>0.73076921701431274</v>
      </c>
      <c r="G16" s="21">
        <v>0.69230771064758301</v>
      </c>
      <c r="H16" s="21">
        <v>0.6086956262588501</v>
      </c>
      <c r="I16" s="21">
        <v>0.80000001192092896</v>
      </c>
      <c r="J16" s="21">
        <v>0.63243246078491211</v>
      </c>
      <c r="K16" s="21">
        <v>0.2222222238779068</v>
      </c>
      <c r="L16" s="21">
        <v>0.12138728052377701</v>
      </c>
      <c r="M16" s="21">
        <v>0.5151515007019043</v>
      </c>
      <c r="N16" s="34">
        <v>7.9576730728149414E-2</v>
      </c>
      <c r="O16" s="21">
        <v>0.99165177345275879</v>
      </c>
      <c r="P16" s="2" t="s">
        <v>26</v>
      </c>
      <c r="Q16" s="2"/>
      <c r="R16" s="2"/>
      <c r="S16" s="2"/>
      <c r="T16" s="2"/>
      <c r="U16" s="2"/>
      <c r="V16" s="2"/>
      <c r="W16" s="2"/>
      <c r="X16" s="2"/>
      <c r="Y16" s="2"/>
      <c r="Z16" s="2"/>
    </row>
    <row r="17" spans="1:26" ht="12.75" customHeight="1" x14ac:dyDescent="0.25">
      <c r="A17" s="2" t="s">
        <v>34</v>
      </c>
      <c r="B17" s="19">
        <v>6.7391777038574219</v>
      </c>
      <c r="C17" s="21">
        <v>0.36363637447357178</v>
      </c>
      <c r="D17" s="21">
        <v>0.5952380895614624</v>
      </c>
      <c r="E17" s="21">
        <v>0.63157892227172852</v>
      </c>
      <c r="F17" s="21">
        <v>0.89189189672470093</v>
      </c>
      <c r="G17" s="21">
        <v>0.77499997615814209</v>
      </c>
      <c r="H17" s="21">
        <v>0.87804877758026123</v>
      </c>
      <c r="I17" s="21">
        <v>0.66666668653488159</v>
      </c>
      <c r="J17" s="21">
        <v>0.3935483992099762</v>
      </c>
      <c r="K17" s="21">
        <v>0.25925925374031067</v>
      </c>
      <c r="L17" s="21">
        <v>0.1944444477558136</v>
      </c>
      <c r="M17" s="21">
        <v>0.61538463830947876</v>
      </c>
      <c r="N17" s="34">
        <v>4.1697364300489426E-2</v>
      </c>
      <c r="O17" s="21">
        <v>0.96466434001922607</v>
      </c>
      <c r="P17" s="2" t="s">
        <v>35</v>
      </c>
      <c r="Q17" s="2"/>
      <c r="R17" s="2"/>
      <c r="S17" s="2"/>
      <c r="T17" s="2"/>
      <c r="U17" s="2"/>
      <c r="V17" s="2"/>
      <c r="W17" s="2"/>
      <c r="X17" s="2"/>
      <c r="Y17" s="2"/>
      <c r="Z17" s="2"/>
    </row>
    <row r="18" spans="1:26" ht="12.75" customHeight="1" x14ac:dyDescent="0.25">
      <c r="A18" s="2" t="s">
        <v>36</v>
      </c>
      <c r="B18" s="19">
        <v>7.2557773590087891</v>
      </c>
      <c r="C18" s="21">
        <v>0.66666668653488159</v>
      </c>
      <c r="D18" s="21">
        <v>0.73913043737411499</v>
      </c>
      <c r="E18" s="21">
        <v>0.68421053886413574</v>
      </c>
      <c r="F18" s="21">
        <v>0.81481480598449707</v>
      </c>
      <c r="G18" s="21">
        <v>0.83333331346511841</v>
      </c>
      <c r="H18" s="21">
        <v>0.83333331346511841</v>
      </c>
      <c r="I18" s="21">
        <v>0.86363637447357178</v>
      </c>
      <c r="J18" s="21">
        <v>0.4711538553237915</v>
      </c>
      <c r="K18" s="21">
        <v>0.36363637447357178</v>
      </c>
      <c r="L18" s="21">
        <v>0.18279570341110229</v>
      </c>
      <c r="M18" s="21">
        <v>0.53571426868438721</v>
      </c>
      <c r="N18" s="34">
        <v>4.4613193720579147E-2</v>
      </c>
      <c r="O18" s="21">
        <v>0.92553192377090454</v>
      </c>
      <c r="P18" s="2" t="s">
        <v>35</v>
      </c>
      <c r="Q18" s="2"/>
      <c r="R18" s="2"/>
      <c r="S18" s="2"/>
      <c r="T18" s="2"/>
      <c r="U18" s="2"/>
      <c r="V18" s="2"/>
      <c r="W18" s="2"/>
      <c r="X18" s="2"/>
      <c r="Y18" s="2"/>
      <c r="Z18" s="2"/>
    </row>
    <row r="19" spans="1:26" ht="12.75" customHeight="1" x14ac:dyDescent="0.25">
      <c r="A19" s="2" t="s">
        <v>37</v>
      </c>
      <c r="B19" s="19">
        <v>6.1221170425415039</v>
      </c>
      <c r="C19" s="21">
        <v>0.65517240762710571</v>
      </c>
      <c r="D19" s="21">
        <v>0.66666668653488159</v>
      </c>
      <c r="E19" s="21">
        <v>0.58823531866073608</v>
      </c>
      <c r="F19" s="21">
        <v>0.73076921701431274</v>
      </c>
      <c r="G19" s="21">
        <v>0.72413790225982666</v>
      </c>
      <c r="H19" s="21">
        <v>0.72413790225982666</v>
      </c>
      <c r="I19" s="21">
        <v>0.81481480598449707</v>
      </c>
      <c r="J19" s="21">
        <v>0.62962961196899414</v>
      </c>
      <c r="K19" s="21">
        <v>0.3333333432674408</v>
      </c>
      <c r="L19" s="21">
        <v>0.1190476194024086</v>
      </c>
      <c r="M19" s="21">
        <v>0.58333331346511841</v>
      </c>
      <c r="N19" s="34">
        <v>2.7804410085082054E-2</v>
      </c>
      <c r="O19" s="21">
        <v>0.72413790225982666</v>
      </c>
      <c r="P19" s="2" t="s">
        <v>18</v>
      </c>
      <c r="Q19" s="2"/>
      <c r="R19" s="2"/>
      <c r="S19" s="2"/>
      <c r="T19" s="2"/>
      <c r="U19" s="2"/>
      <c r="V19" s="2"/>
      <c r="W19" s="2"/>
      <c r="X19" s="2"/>
      <c r="Y19" s="2"/>
      <c r="Z19" s="2"/>
    </row>
    <row r="20" spans="1:26" ht="12.75" customHeight="1" x14ac:dyDescent="0.25">
      <c r="A20" s="2" t="s">
        <v>38</v>
      </c>
      <c r="B20" s="19">
        <v>8.0684680938720703</v>
      </c>
      <c r="C20" s="21">
        <v>0.91176468133926392</v>
      </c>
      <c r="D20" s="21">
        <v>0.87804877758026123</v>
      </c>
      <c r="E20" s="21">
        <v>0.96969699859619141</v>
      </c>
      <c r="F20" s="21">
        <v>0.8571428656578064</v>
      </c>
      <c r="G20" s="21">
        <v>0.88571429252624512</v>
      </c>
      <c r="H20" s="21">
        <v>0.82857143878936768</v>
      </c>
      <c r="I20" s="21">
        <v>0.96428573131561279</v>
      </c>
      <c r="J20" s="21">
        <v>0.66666668653488159</v>
      </c>
      <c r="K20" s="21">
        <v>0.70588237047195435</v>
      </c>
      <c r="L20" s="21">
        <v>0.25362318754196167</v>
      </c>
      <c r="M20" s="21">
        <v>0.56451612710952759</v>
      </c>
      <c r="N20" s="34">
        <v>3.7436973303556442E-2</v>
      </c>
      <c r="O20" s="21">
        <v>0.98540967702865601</v>
      </c>
      <c r="P20" s="2" t="s">
        <v>24</v>
      </c>
      <c r="Q20" s="2"/>
      <c r="R20" s="2"/>
      <c r="S20" s="2"/>
      <c r="T20" s="2"/>
      <c r="U20" s="2"/>
      <c r="V20" s="2"/>
      <c r="W20" s="2"/>
      <c r="X20" s="2"/>
      <c r="Y20" s="2"/>
      <c r="Z20" s="2"/>
    </row>
    <row r="21" spans="1:26" ht="12.75" customHeight="1" x14ac:dyDescent="0.25">
      <c r="A21" s="2" t="s">
        <v>39</v>
      </c>
      <c r="B21" s="19">
        <v>7.4093656539916992</v>
      </c>
      <c r="C21" s="21">
        <v>0.83870965242385864</v>
      </c>
      <c r="D21" s="21">
        <v>0.85294115543365479</v>
      </c>
      <c r="E21" s="21">
        <v>0.86206895112991333</v>
      </c>
      <c r="F21" s="21">
        <v>0.83870965242385864</v>
      </c>
      <c r="G21" s="21">
        <v>0.79411762952804565</v>
      </c>
      <c r="H21" s="21">
        <v>0.78571426868438721</v>
      </c>
      <c r="I21" s="21">
        <v>0.91428571939468384</v>
      </c>
      <c r="J21" s="21">
        <v>0.59322035312652588</v>
      </c>
      <c r="K21" s="21">
        <v>0.83333331346511841</v>
      </c>
      <c r="L21" s="21">
        <v>0.26126125454902649</v>
      </c>
      <c r="M21" s="21">
        <v>0.75</v>
      </c>
      <c r="N21" s="34">
        <v>2.5121763348579407E-2</v>
      </c>
      <c r="O21" s="21">
        <v>0.92857140302658081</v>
      </c>
      <c r="P21" s="2" t="s">
        <v>15</v>
      </c>
      <c r="Q21" s="2"/>
      <c r="R21" s="2"/>
      <c r="S21" s="2"/>
      <c r="T21" s="2"/>
      <c r="U21" s="2"/>
      <c r="V21" s="2"/>
      <c r="W21" s="2"/>
      <c r="X21" s="2"/>
      <c r="Y21" s="2"/>
      <c r="Z21" s="2"/>
    </row>
    <row r="22" spans="1:26" ht="12.75" customHeight="1" x14ac:dyDescent="0.25">
      <c r="A22" s="2" t="s">
        <v>40</v>
      </c>
      <c r="B22" s="19">
        <v>8.2701511383056641</v>
      </c>
      <c r="C22" s="21">
        <v>0.93181818723678589</v>
      </c>
      <c r="D22" s="21">
        <v>0.86486488580703735</v>
      </c>
      <c r="E22" s="21">
        <v>0.94117647409439087</v>
      </c>
      <c r="F22" s="21">
        <v>0.91428571939468384</v>
      </c>
      <c r="G22" s="21">
        <v>0.90909093618392944</v>
      </c>
      <c r="H22" s="21">
        <v>0.94871795177459717</v>
      </c>
      <c r="I22" s="21">
        <v>1</v>
      </c>
      <c r="J22" s="21">
        <v>0.48360654711723328</v>
      </c>
      <c r="K22" s="21">
        <v>0.39393940567970276</v>
      </c>
      <c r="L22" s="21">
        <v>0.25862067937850952</v>
      </c>
      <c r="M22" s="21">
        <v>0.83333331346511841</v>
      </c>
      <c r="N22" s="34">
        <v>4.4083528220653534E-2</v>
      </c>
      <c r="O22" s="21">
        <v>0.95789474248886108</v>
      </c>
      <c r="P22" s="2" t="s">
        <v>35</v>
      </c>
      <c r="Q22" s="2"/>
      <c r="R22" s="2"/>
      <c r="S22" s="2"/>
      <c r="T22" s="2"/>
      <c r="U22" s="2"/>
      <c r="V22" s="2"/>
      <c r="W22" s="2"/>
      <c r="X22" s="2"/>
      <c r="Y22" s="2"/>
      <c r="Z22" s="2"/>
    </row>
    <row r="23" spans="1:26" ht="12.75" customHeight="1" x14ac:dyDescent="0.25">
      <c r="A23" s="2" t="s">
        <v>76</v>
      </c>
      <c r="B23" s="19">
        <v>7.8081035614013672</v>
      </c>
      <c r="C23" s="21">
        <v>0.5</v>
      </c>
      <c r="D23" s="21">
        <v>0.74380165338516235</v>
      </c>
      <c r="E23" s="21">
        <v>0.67521369457244873</v>
      </c>
      <c r="F23" s="21">
        <v>0.77981650829315186</v>
      </c>
      <c r="G23" s="21">
        <v>0.76923078298568726</v>
      </c>
      <c r="H23" s="21">
        <v>0.74789917469024658</v>
      </c>
      <c r="I23" s="21">
        <v>0.73913043737411499</v>
      </c>
      <c r="J23" s="21">
        <v>0.46482411026954651</v>
      </c>
      <c r="K23" s="21">
        <v>0.20000000298023224</v>
      </c>
      <c r="L23" s="21">
        <v>0.13756613433361053</v>
      </c>
      <c r="M23" s="21">
        <v>0.66666668653488159</v>
      </c>
      <c r="N23" s="34">
        <v>7.9576730728149414E-2</v>
      </c>
      <c r="O23" s="21">
        <v>0.99837255477905273</v>
      </c>
      <c r="P23" s="2" t="s">
        <v>24</v>
      </c>
      <c r="Q23" s="2"/>
      <c r="R23" s="2"/>
      <c r="S23" s="2"/>
      <c r="T23" s="2"/>
      <c r="U23" s="2"/>
      <c r="V23" s="2"/>
      <c r="W23" s="2"/>
      <c r="X23" s="2"/>
      <c r="Y23" s="2"/>
      <c r="Z23" s="2"/>
    </row>
    <row r="24" spans="1:26" ht="12.75" customHeight="1" x14ac:dyDescent="0.25">
      <c r="A24" s="2" t="s">
        <v>41</v>
      </c>
      <c r="B24" s="19">
        <v>6.3985872268676758</v>
      </c>
      <c r="C24" s="21">
        <v>0.47826087474822998</v>
      </c>
      <c r="D24" s="21">
        <v>0.66666668653488159</v>
      </c>
      <c r="E24" s="21">
        <v>0.71428573131561279</v>
      </c>
      <c r="F24" s="21">
        <v>0.66666668653488159</v>
      </c>
      <c r="G24" s="21">
        <v>0.66666668653488159</v>
      </c>
      <c r="H24" s="21">
        <v>0.64999997615814209</v>
      </c>
      <c r="I24" s="21">
        <v>0.77777779102325439</v>
      </c>
      <c r="J24" s="21">
        <v>0.36893203854560852</v>
      </c>
      <c r="K24" s="21">
        <v>0.31578946113586426</v>
      </c>
      <c r="L24" s="21">
        <v>8.4210529923439026E-2</v>
      </c>
      <c r="M24" s="21">
        <v>0.5</v>
      </c>
      <c r="N24" s="34">
        <v>4.1543025523424149E-2</v>
      </c>
      <c r="O24" s="21">
        <v>0.875</v>
      </c>
      <c r="P24" s="2" t="s">
        <v>18</v>
      </c>
      <c r="Q24" s="2"/>
      <c r="R24" s="2"/>
      <c r="S24" s="2"/>
      <c r="T24" s="2"/>
      <c r="U24" s="2"/>
      <c r="V24" s="2"/>
      <c r="W24" s="2"/>
      <c r="X24" s="2"/>
      <c r="Y24" s="2"/>
      <c r="Z24" s="2"/>
    </row>
    <row r="25" spans="1:26" ht="12.75" customHeight="1" x14ac:dyDescent="0.25">
      <c r="A25" s="2" t="s">
        <v>42</v>
      </c>
      <c r="B25" s="19">
        <v>7.663823127746582</v>
      </c>
      <c r="C25" s="21">
        <v>0.875</v>
      </c>
      <c r="D25" s="21">
        <v>0.94117647409439087</v>
      </c>
      <c r="E25" s="21">
        <v>0.83333331346511841</v>
      </c>
      <c r="F25" s="21">
        <v>0.93333333730697632</v>
      </c>
      <c r="G25" s="21">
        <v>0.875</v>
      </c>
      <c r="H25" s="21">
        <v>0.89999997615814209</v>
      </c>
      <c r="I25" s="21">
        <v>1</v>
      </c>
      <c r="J25" s="21">
        <v>0.63247865438461304</v>
      </c>
      <c r="K25" s="21">
        <v>0.75</v>
      </c>
      <c r="L25" s="21">
        <v>9.0090088546276093E-2</v>
      </c>
      <c r="M25" s="21">
        <v>0.625</v>
      </c>
      <c r="N25" s="34">
        <v>2.3048488423228264E-2</v>
      </c>
      <c r="O25" s="21">
        <v>0.93396228551864624</v>
      </c>
      <c r="P25" s="2" t="s">
        <v>21</v>
      </c>
      <c r="Q25" s="2"/>
      <c r="R25" s="2"/>
      <c r="S25" s="2"/>
      <c r="T25" s="2"/>
      <c r="U25" s="2"/>
      <c r="V25" s="2"/>
      <c r="W25" s="2"/>
      <c r="X25" s="2"/>
      <c r="Y25" s="2"/>
      <c r="Z25" s="2"/>
    </row>
    <row r="26" spans="1:26" ht="12.75" customHeight="1" x14ac:dyDescent="0.25">
      <c r="A26" s="2" t="s">
        <v>43</v>
      </c>
      <c r="B26" s="19">
        <v>8.0271692276000977</v>
      </c>
      <c r="C26" s="21">
        <v>0.70588237047195435</v>
      </c>
      <c r="D26" s="21">
        <v>0.74000000953674316</v>
      </c>
      <c r="E26" s="21">
        <v>0.76190477609634399</v>
      </c>
      <c r="F26" s="21">
        <v>0.68000000715255737</v>
      </c>
      <c r="G26" s="21">
        <v>0.72000002861022949</v>
      </c>
      <c r="H26" s="21">
        <v>0.70212763547897339</v>
      </c>
      <c r="I26" s="21">
        <v>0.8571428656578064</v>
      </c>
      <c r="J26" s="21">
        <v>0.59649121761322021</v>
      </c>
      <c r="K26" s="21">
        <v>0.25</v>
      </c>
      <c r="L26" s="21">
        <v>0.10670731961727142</v>
      </c>
      <c r="M26" s="21">
        <v>0.69387757778167725</v>
      </c>
      <c r="N26" s="34">
        <v>7.9576730728149414E-2</v>
      </c>
      <c r="O26" s="21">
        <v>0.9957653284072876</v>
      </c>
      <c r="P26" s="2" t="s">
        <v>21</v>
      </c>
      <c r="Q26" s="2"/>
      <c r="R26" s="2"/>
      <c r="S26" s="2"/>
      <c r="T26" s="2"/>
      <c r="U26" s="2"/>
      <c r="V26" s="2"/>
      <c r="W26" s="2"/>
      <c r="X26" s="2"/>
      <c r="Y26" s="2"/>
      <c r="Z26" s="2"/>
    </row>
    <row r="27" spans="1:26" ht="12.75" customHeight="1" x14ac:dyDescent="0.25">
      <c r="A27" s="2" t="s">
        <v>44</v>
      </c>
      <c r="B27" s="19">
        <v>7.4957113265991211</v>
      </c>
      <c r="C27" s="21">
        <v>0.63636362552642822</v>
      </c>
      <c r="D27" s="21">
        <v>0.72413790225982666</v>
      </c>
      <c r="E27" s="21">
        <v>0.73333334922790527</v>
      </c>
      <c r="F27" s="21">
        <v>0.78125</v>
      </c>
      <c r="G27" s="21">
        <v>0.73333334922790527</v>
      </c>
      <c r="H27" s="21">
        <v>0.84375</v>
      </c>
      <c r="I27" s="21">
        <v>0.92307692766189575</v>
      </c>
      <c r="J27" s="21">
        <v>0.515625</v>
      </c>
      <c r="K27" s="21">
        <v>0.52631580829620361</v>
      </c>
      <c r="L27" s="21">
        <v>5.833333358168602E-2</v>
      </c>
      <c r="M27" s="21">
        <v>0.46666666865348816</v>
      </c>
      <c r="N27" s="34">
        <v>5.2631579339504242E-2</v>
      </c>
      <c r="O27" s="21">
        <v>0.96969699859619141</v>
      </c>
      <c r="P27" s="2" t="s">
        <v>26</v>
      </c>
      <c r="Q27" s="2"/>
      <c r="R27" s="2"/>
      <c r="S27" s="2"/>
      <c r="T27" s="2"/>
      <c r="U27" s="2"/>
      <c r="V27" s="2"/>
      <c r="W27" s="2"/>
      <c r="X27" s="2"/>
      <c r="Y27" s="2"/>
      <c r="Z27" s="2"/>
    </row>
    <row r="28" spans="1:26" ht="12.75" customHeight="1" x14ac:dyDescent="0.25">
      <c r="A28" s="2" t="s">
        <v>45</v>
      </c>
      <c r="B28" s="19">
        <v>6.986912727355957</v>
      </c>
      <c r="C28" s="21">
        <v>0.75555557012557983</v>
      </c>
      <c r="D28" s="21">
        <v>0.76363635063171387</v>
      </c>
      <c r="E28" s="21">
        <v>0.70909088850021362</v>
      </c>
      <c r="F28" s="21">
        <v>0.74074071645736694</v>
      </c>
      <c r="G28" s="21">
        <v>0.78846156597137451</v>
      </c>
      <c r="H28" s="21">
        <v>0.80769228935241699</v>
      </c>
      <c r="I28" s="21">
        <v>0.80357140302658081</v>
      </c>
      <c r="J28" s="21">
        <v>0.55294120311737061</v>
      </c>
      <c r="K28" s="21">
        <v>0.23076923191547394</v>
      </c>
      <c r="L28" s="21">
        <v>0.10447761416435242</v>
      </c>
      <c r="M28" s="21">
        <v>0.2199999988079071</v>
      </c>
      <c r="N28" s="34">
        <v>3.4117002040147781E-2</v>
      </c>
      <c r="O28" s="21">
        <v>0.97435897588729858</v>
      </c>
      <c r="P28" s="2" t="s">
        <v>21</v>
      </c>
      <c r="Q28" s="2"/>
      <c r="R28" s="2"/>
      <c r="S28" s="2"/>
      <c r="T28" s="2"/>
      <c r="U28" s="2"/>
      <c r="V28" s="2"/>
      <c r="W28" s="2"/>
      <c r="X28" s="2"/>
      <c r="Y28" s="2"/>
      <c r="Z28" s="2"/>
    </row>
    <row r="29" spans="1:26" ht="12.75" customHeight="1" x14ac:dyDescent="0.25">
      <c r="A29" s="2" t="s">
        <v>46</v>
      </c>
      <c r="B29" s="19">
        <v>7.3065834045410156</v>
      </c>
      <c r="C29" s="21">
        <v>0.707317054271698</v>
      </c>
      <c r="D29" s="21">
        <v>0.80769228935241699</v>
      </c>
      <c r="E29" s="21">
        <v>0.66666668653488159</v>
      </c>
      <c r="F29" s="21">
        <v>0.71428573131561279</v>
      </c>
      <c r="G29" s="21">
        <v>0.75999999046325684</v>
      </c>
      <c r="H29" s="21">
        <v>0.72727274894714355</v>
      </c>
      <c r="I29" s="21">
        <v>0.77272725105285645</v>
      </c>
      <c r="J29" s="21">
        <v>0.79885059595108032</v>
      </c>
      <c r="K29" s="21">
        <v>0.46153846383094788</v>
      </c>
      <c r="L29" s="21">
        <v>9.8765432834625244E-2</v>
      </c>
      <c r="M29" s="21">
        <v>0.53571426868438721</v>
      </c>
      <c r="N29" s="34">
        <v>4.5336641371250153E-2</v>
      </c>
      <c r="O29" s="21">
        <v>0.99004977941513062</v>
      </c>
      <c r="P29" s="2" t="s">
        <v>21</v>
      </c>
      <c r="Q29" s="2"/>
      <c r="R29" s="2"/>
      <c r="S29" s="2"/>
      <c r="T29" s="2"/>
      <c r="U29" s="2"/>
      <c r="V29" s="2"/>
      <c r="W29" s="2"/>
      <c r="X29" s="2"/>
      <c r="Y29" s="2"/>
      <c r="Z29" s="2"/>
    </row>
    <row r="30" spans="1:26" ht="12.75" customHeight="1" x14ac:dyDescent="0.25">
      <c r="A30" s="2" t="s">
        <v>47</v>
      </c>
      <c r="B30" s="19">
        <v>7.7195115089416504</v>
      </c>
      <c r="C30" s="21">
        <v>0.87096774578094482</v>
      </c>
      <c r="D30" s="21">
        <v>0.91176468133926392</v>
      </c>
      <c r="E30" s="21">
        <v>0.89999997615814209</v>
      </c>
      <c r="F30" s="21">
        <v>0.8928571343421936</v>
      </c>
      <c r="G30" s="21">
        <v>0.88461536169052124</v>
      </c>
      <c r="H30" s="21">
        <v>0.8928571343421936</v>
      </c>
      <c r="I30" s="21">
        <v>0.8928571343421936</v>
      </c>
      <c r="J30" s="21">
        <v>0.56000000238418579</v>
      </c>
      <c r="K30" s="21">
        <v>0.53333336114883423</v>
      </c>
      <c r="L30" s="21">
        <v>0.2261904776096344</v>
      </c>
      <c r="M30" s="21">
        <v>0.48571428656578064</v>
      </c>
      <c r="N30" s="34">
        <v>3.3333335071802139E-2</v>
      </c>
      <c r="O30" s="21">
        <v>0.91139239072799683</v>
      </c>
      <c r="P30" s="2" t="s">
        <v>15</v>
      </c>
      <c r="Q30" s="2"/>
      <c r="R30" s="2"/>
      <c r="S30" s="2"/>
      <c r="T30" s="2"/>
      <c r="U30" s="2"/>
      <c r="V30" s="2"/>
      <c r="W30" s="2"/>
      <c r="X30" s="2"/>
      <c r="Y30" s="2"/>
      <c r="Z30" s="2"/>
    </row>
    <row r="31" spans="1:26" ht="12.75" customHeight="1" x14ac:dyDescent="0.25">
      <c r="A31" s="2" t="s">
        <v>48</v>
      </c>
      <c r="B31" s="19">
        <v>6.2628135681152344</v>
      </c>
      <c r="C31" s="21">
        <v>0.71428573131561279</v>
      </c>
      <c r="D31" s="21">
        <v>0.58620691299438477</v>
      </c>
      <c r="E31" s="21">
        <v>0.625</v>
      </c>
      <c r="F31" s="21">
        <v>0.6538461446762085</v>
      </c>
      <c r="G31" s="21">
        <v>0.81481480598449707</v>
      </c>
      <c r="H31" s="21">
        <v>0.82608693838119507</v>
      </c>
      <c r="I31" s="21">
        <v>0.63333332538604736</v>
      </c>
      <c r="J31" s="21">
        <v>0.40000000596046448</v>
      </c>
      <c r="K31" s="21">
        <v>0.20000000298023224</v>
      </c>
      <c r="L31" s="21">
        <v>0.13265305757522583</v>
      </c>
      <c r="M31" s="21">
        <v>0.60000002384185791</v>
      </c>
      <c r="N31" s="34">
        <v>2.6030369102954865E-2</v>
      </c>
      <c r="O31" s="21">
        <v>0.88333332538604736</v>
      </c>
      <c r="P31" s="2" t="s">
        <v>18</v>
      </c>
      <c r="Q31" s="2"/>
      <c r="R31" s="2"/>
      <c r="S31" s="2"/>
      <c r="T31" s="2"/>
      <c r="U31" s="2"/>
      <c r="V31" s="2"/>
      <c r="W31" s="2"/>
      <c r="X31" s="2"/>
      <c r="Y31" s="2"/>
      <c r="Z31" s="2"/>
    </row>
    <row r="32" spans="1:26" ht="12.75" customHeight="1" x14ac:dyDescent="0.25">
      <c r="A32" s="2" t="s">
        <v>49</v>
      </c>
      <c r="B32" s="19">
        <v>7.1261262893676758</v>
      </c>
      <c r="C32" s="21">
        <v>0.73913043737411499</v>
      </c>
      <c r="D32" s="21">
        <v>0.74137932062149048</v>
      </c>
      <c r="E32" s="21">
        <v>0.77083331346511841</v>
      </c>
      <c r="F32" s="21">
        <v>0.69999998807907104</v>
      </c>
      <c r="G32" s="21">
        <v>0.72881358861923218</v>
      </c>
      <c r="H32" s="21">
        <v>0.80769228935241699</v>
      </c>
      <c r="I32" s="21">
        <v>0.83333331346511841</v>
      </c>
      <c r="J32" s="21">
        <v>0.65957444906234741</v>
      </c>
      <c r="K32" s="21">
        <v>0.23529411852359772</v>
      </c>
      <c r="L32" s="21">
        <v>0.21705426275730133</v>
      </c>
      <c r="M32" s="21">
        <v>0.625</v>
      </c>
      <c r="N32" s="34">
        <v>3.4698598086833954E-2</v>
      </c>
      <c r="O32" s="21">
        <v>0.97254902124404907</v>
      </c>
      <c r="P32" s="2" t="s">
        <v>21</v>
      </c>
      <c r="Q32" s="2"/>
      <c r="R32" s="2"/>
      <c r="S32" s="2"/>
      <c r="T32" s="2"/>
      <c r="U32" s="2"/>
      <c r="V32" s="2"/>
      <c r="W32" s="2"/>
      <c r="X32" s="2"/>
      <c r="Y32" s="2"/>
      <c r="Z32" s="2"/>
    </row>
    <row r="33" spans="1:26" ht="12.75" customHeight="1" x14ac:dyDescent="0.25">
      <c r="A33" s="2" t="s">
        <v>50</v>
      </c>
      <c r="B33" s="19">
        <v>8.2833385467529297</v>
      </c>
      <c r="C33" s="21">
        <v>0.8095238208770752</v>
      </c>
      <c r="D33" s="21">
        <v>0.90625</v>
      </c>
      <c r="E33" s="21">
        <v>0.86666667461395264</v>
      </c>
      <c r="F33" s="21">
        <v>0.79166668653488159</v>
      </c>
      <c r="G33" s="21">
        <v>0.80000001192092896</v>
      </c>
      <c r="H33" s="21">
        <v>0.87878787517547607</v>
      </c>
      <c r="I33" s="21">
        <v>0.8571428656578064</v>
      </c>
      <c r="J33" s="21">
        <v>0.63076925277709961</v>
      </c>
      <c r="K33" s="21">
        <v>0.64705884456634521</v>
      </c>
      <c r="L33" s="21">
        <v>0.29752066731452942</v>
      </c>
      <c r="M33" s="21">
        <v>0.77777779102325439</v>
      </c>
      <c r="N33" s="34">
        <v>5.6807462126016617E-2</v>
      </c>
      <c r="O33" s="21">
        <v>0.98708486557006836</v>
      </c>
      <c r="P33" s="2" t="s">
        <v>26</v>
      </c>
      <c r="Q33" s="2"/>
      <c r="R33" s="2"/>
      <c r="S33" s="2"/>
      <c r="T33" s="2"/>
      <c r="U33" s="2"/>
      <c r="V33" s="2"/>
      <c r="W33" s="2"/>
      <c r="X33" s="2"/>
      <c r="Y33" s="2"/>
      <c r="Z33" s="2"/>
    </row>
    <row r="34" spans="1:26" ht="12.75" customHeight="1" x14ac:dyDescent="0.25">
      <c r="A34" s="2" t="s">
        <v>51</v>
      </c>
      <c r="B34" s="19">
        <v>5.6797394752502441</v>
      </c>
      <c r="C34" s="21">
        <v>0.22499999403953552</v>
      </c>
      <c r="D34" s="21">
        <v>0.36734694242477417</v>
      </c>
      <c r="E34" s="21">
        <v>0.37735849618911743</v>
      </c>
      <c r="F34" s="21">
        <v>0.82352942228317261</v>
      </c>
      <c r="G34" s="21">
        <v>0.81999999284744263</v>
      </c>
      <c r="H34" s="21">
        <v>0.82692307233810425</v>
      </c>
      <c r="I34" s="21">
        <v>0.38775509595870972</v>
      </c>
      <c r="J34" s="21">
        <v>0.26666668057441711</v>
      </c>
      <c r="K34" s="21">
        <v>6.1224490404129028E-2</v>
      </c>
      <c r="L34" s="21">
        <v>0.25862067937850952</v>
      </c>
      <c r="M34" s="21">
        <v>0.88235294818878174</v>
      </c>
      <c r="N34" s="34">
        <v>3.1020108610391617E-2</v>
      </c>
      <c r="O34" s="21">
        <v>0.96442687511444092</v>
      </c>
      <c r="P34" s="2" t="s">
        <v>15</v>
      </c>
      <c r="Q34" s="2"/>
      <c r="R34" s="2"/>
      <c r="S34" s="2"/>
      <c r="T34" s="2"/>
      <c r="U34" s="2"/>
      <c r="V34" s="2"/>
      <c r="W34" s="2"/>
      <c r="X34" s="2"/>
      <c r="Y34" s="2"/>
      <c r="Z34" s="2"/>
    </row>
    <row r="35" spans="1:26" ht="12.75" customHeight="1" x14ac:dyDescent="0.25">
      <c r="A35" s="2" t="s">
        <v>52</v>
      </c>
      <c r="B35" s="19">
        <v>7.1877756118774414</v>
      </c>
      <c r="C35" s="21">
        <v>0.88461536169052124</v>
      </c>
      <c r="D35" s="21">
        <v>0.80000001192092896</v>
      </c>
      <c r="E35" s="21">
        <v>0.80000001192092896</v>
      </c>
      <c r="F35" s="21">
        <v>0.80000001192092896</v>
      </c>
      <c r="G35" s="21">
        <v>0.60000002384185791</v>
      </c>
      <c r="H35" s="21">
        <v>0.76923078298568726</v>
      </c>
      <c r="I35" s="21">
        <v>0.80000001192092896</v>
      </c>
      <c r="J35" s="21">
        <v>0.67326730489730835</v>
      </c>
      <c r="K35" s="21">
        <v>0.4285714328289032</v>
      </c>
      <c r="L35" s="21">
        <v>0.12371134012937546</v>
      </c>
      <c r="M35" s="21">
        <v>0.5625</v>
      </c>
      <c r="N35" s="34">
        <v>3.7967290729284286E-2</v>
      </c>
      <c r="O35" s="21">
        <v>0.89230769872665405</v>
      </c>
      <c r="P35" s="2" t="s">
        <v>35</v>
      </c>
      <c r="Q35" s="2"/>
      <c r="R35" s="2"/>
      <c r="S35" s="2"/>
      <c r="T35" s="2"/>
      <c r="U35" s="2"/>
      <c r="V35" s="2"/>
      <c r="W35" s="2"/>
      <c r="X35" s="2"/>
      <c r="Y35" s="2"/>
      <c r="Z35" s="2"/>
    </row>
    <row r="36" spans="1:26" ht="12.75" customHeight="1" x14ac:dyDescent="0.25">
      <c r="A36" s="2" t="s">
        <v>53</v>
      </c>
      <c r="B36" s="19">
        <v>7.1068778038024902</v>
      </c>
      <c r="C36" s="21">
        <v>0.79411762952804565</v>
      </c>
      <c r="D36" s="21">
        <v>0.83333331346511841</v>
      </c>
      <c r="E36" s="21">
        <v>1</v>
      </c>
      <c r="F36" s="21">
        <v>0.75</v>
      </c>
      <c r="G36" s="21">
        <v>0.8571428656578064</v>
      </c>
      <c r="H36" s="21">
        <v>0.77777779102325439</v>
      </c>
      <c r="I36" s="21">
        <v>0.92307692766189575</v>
      </c>
      <c r="J36" s="21">
        <v>0.73584908246994019</v>
      </c>
      <c r="K36" s="21">
        <v>0.52631580829620361</v>
      </c>
      <c r="L36" s="21">
        <v>0.11650485545396805</v>
      </c>
      <c r="M36" s="21">
        <v>0.80000001192092896</v>
      </c>
      <c r="N36" s="34">
        <v>2.6213591918349266E-2</v>
      </c>
      <c r="O36" s="21">
        <v>0.74074071645736694</v>
      </c>
      <c r="P36" s="2" t="s">
        <v>18</v>
      </c>
      <c r="Q36" s="2"/>
      <c r="R36" s="2"/>
      <c r="S36" s="2"/>
      <c r="T36" s="2"/>
      <c r="U36" s="2"/>
      <c r="V36" s="2"/>
      <c r="W36" s="2"/>
      <c r="X36" s="2"/>
      <c r="Y36" s="2"/>
      <c r="Z36" s="2"/>
    </row>
    <row r="37" spans="1:26" ht="12.75" customHeight="1" x14ac:dyDescent="0.25">
      <c r="A37" s="2" t="s">
        <v>56</v>
      </c>
      <c r="B37" s="19">
        <v>7.1134881973266602</v>
      </c>
      <c r="C37" s="21">
        <v>0.54347825050354004</v>
      </c>
      <c r="D37" s="21">
        <v>0.6808510422706604</v>
      </c>
      <c r="E37" s="21">
        <v>0.67391306161880493</v>
      </c>
      <c r="F37" s="21">
        <v>0.82352942228317261</v>
      </c>
      <c r="G37" s="21">
        <v>0.8163265585899353</v>
      </c>
      <c r="H37" s="21">
        <v>0.80000001192092896</v>
      </c>
      <c r="I37" s="21">
        <v>0.70588237047195435</v>
      </c>
      <c r="J37" s="21">
        <v>0.43150684237480164</v>
      </c>
      <c r="K37" s="21">
        <v>0.17142857611179352</v>
      </c>
      <c r="L37" s="21">
        <v>0.24460431933403015</v>
      </c>
      <c r="M37" s="21">
        <v>0.80487805604934692</v>
      </c>
      <c r="N37" s="34">
        <v>4.6983104199171066E-2</v>
      </c>
      <c r="O37" s="21">
        <v>0.9726027250289917</v>
      </c>
      <c r="P37" s="2" t="s">
        <v>35</v>
      </c>
      <c r="Q37" s="2"/>
      <c r="R37" s="2"/>
      <c r="S37" s="2"/>
      <c r="T37" s="2"/>
      <c r="U37" s="2"/>
      <c r="V37" s="2"/>
      <c r="W37" s="2"/>
      <c r="X37" s="2"/>
      <c r="Y37" s="2"/>
      <c r="Z37" s="2"/>
    </row>
    <row r="38" spans="1:26" ht="12.75" customHeight="1" x14ac:dyDescent="0.25">
      <c r="A38" s="2" t="s">
        <v>54</v>
      </c>
      <c r="B38" s="19">
        <v>7.0246338844299316</v>
      </c>
      <c r="C38" s="21">
        <v>0.73529410362243652</v>
      </c>
      <c r="D38" s="21">
        <v>0.78947371244430542</v>
      </c>
      <c r="E38" s="21">
        <v>0.6875</v>
      </c>
      <c r="F38" s="21">
        <v>0.8399999737739563</v>
      </c>
      <c r="G38" s="21">
        <v>0.8571428656578064</v>
      </c>
      <c r="H38" s="21">
        <v>0.76666665077209473</v>
      </c>
      <c r="I38" s="21">
        <v>0.81481480598449707</v>
      </c>
      <c r="J38" s="21">
        <v>0.54135340452194214</v>
      </c>
      <c r="K38" s="21">
        <v>0.5</v>
      </c>
      <c r="L38" s="21">
        <v>8.527132123708725E-2</v>
      </c>
      <c r="M38" s="21">
        <v>0.66666668653488159</v>
      </c>
      <c r="N38" s="34">
        <v>3.320683166384697E-2</v>
      </c>
      <c r="O38" s="21">
        <v>0.88571429252624512</v>
      </c>
      <c r="P38" s="2" t="s">
        <v>18</v>
      </c>
      <c r="Q38" s="2"/>
      <c r="R38" s="2"/>
      <c r="S38" s="2"/>
      <c r="T38" s="2"/>
      <c r="U38" s="2"/>
      <c r="V38" s="2"/>
      <c r="W38" s="2"/>
      <c r="X38" s="2"/>
      <c r="Y38" s="2"/>
      <c r="Z38" s="2"/>
    </row>
    <row r="39" spans="1:26" ht="12.75" customHeight="1" x14ac:dyDescent="0.25">
      <c r="A39" s="2" t="s">
        <v>55</v>
      </c>
      <c r="B39" s="19">
        <v>7.7054958343505859</v>
      </c>
      <c r="C39" s="21">
        <v>0.81818181276321411</v>
      </c>
      <c r="D39" s="21">
        <v>0.94285714626312256</v>
      </c>
      <c r="E39" s="21">
        <v>0.87096774578094482</v>
      </c>
      <c r="F39" s="21">
        <v>0.89655172824859619</v>
      </c>
      <c r="G39" s="21">
        <v>0.84848487377166748</v>
      </c>
      <c r="H39" s="21">
        <v>0.93939393758773804</v>
      </c>
      <c r="I39" s="21">
        <v>0.8399999737739563</v>
      </c>
      <c r="J39" s="21">
        <v>0.60952383279800415</v>
      </c>
      <c r="K39" s="21">
        <v>0.6875</v>
      </c>
      <c r="L39" s="21">
        <v>0.34408602118492126</v>
      </c>
      <c r="M39" s="21">
        <v>0.65909093618392944</v>
      </c>
      <c r="N39" s="34">
        <v>2.9618659988045692E-2</v>
      </c>
      <c r="O39" s="21">
        <v>0.91250002384185791</v>
      </c>
      <c r="P39" s="2" t="s">
        <v>18</v>
      </c>
      <c r="Q39" s="2"/>
      <c r="R39" s="2"/>
      <c r="S39" s="2"/>
      <c r="T39" s="2"/>
      <c r="U39" s="2"/>
      <c r="V39" s="2"/>
      <c r="W39" s="2"/>
      <c r="X39" s="2"/>
      <c r="Y39" s="2"/>
      <c r="Z39" s="2"/>
    </row>
    <row r="40" spans="1:26" ht="12.75" customHeight="1" x14ac:dyDescent="0.25">
      <c r="A40" s="2" t="s">
        <v>57</v>
      </c>
      <c r="B40" s="19">
        <v>7.0965476036071777</v>
      </c>
      <c r="C40" s="21">
        <v>0.86842107772827148</v>
      </c>
      <c r="D40" s="21">
        <v>0.81481480598449707</v>
      </c>
      <c r="E40" s="21">
        <v>0.69999998807907104</v>
      </c>
      <c r="F40" s="21">
        <v>0.71875</v>
      </c>
      <c r="G40" s="21">
        <v>0.68965518474578857</v>
      </c>
      <c r="H40" s="21">
        <v>0.82926827669143677</v>
      </c>
      <c r="I40" s="21">
        <v>0.85365855693817139</v>
      </c>
      <c r="J40" s="21">
        <v>0.59842520952224731</v>
      </c>
      <c r="K40" s="21">
        <v>0.4166666567325592</v>
      </c>
      <c r="L40" s="21">
        <v>0.25423729419708252</v>
      </c>
      <c r="M40" s="21">
        <v>0.74358975887298584</v>
      </c>
      <c r="N40" s="34">
        <v>2.5464138016104698E-2</v>
      </c>
      <c r="O40" s="21">
        <v>0.97211158275604248</v>
      </c>
      <c r="P40" s="2" t="s">
        <v>15</v>
      </c>
      <c r="Q40" s="2"/>
      <c r="R40" s="2"/>
      <c r="S40" s="2"/>
      <c r="T40" s="2"/>
      <c r="U40" s="2"/>
      <c r="V40" s="2"/>
      <c r="W40" s="2"/>
      <c r="X40" s="2"/>
      <c r="Y40" s="2"/>
      <c r="Z40" s="2"/>
    </row>
    <row r="41" spans="1:26" ht="12.75" customHeight="1" x14ac:dyDescent="0.25">
      <c r="A41" s="2" t="s">
        <v>58</v>
      </c>
      <c r="B41" s="19">
        <v>6.7300491333007813</v>
      </c>
      <c r="C41" s="21">
        <v>0.55000001192092896</v>
      </c>
      <c r="D41" s="21">
        <v>0.58695650100708008</v>
      </c>
      <c r="E41" s="21">
        <v>0.68181818723678589</v>
      </c>
      <c r="F41" s="21">
        <v>0.8139534592628479</v>
      </c>
      <c r="G41" s="21">
        <v>0.84090906381607056</v>
      </c>
      <c r="H41" s="21">
        <v>0.88571429252624512</v>
      </c>
      <c r="I41" s="21">
        <v>0.73170733451843262</v>
      </c>
      <c r="J41" s="21">
        <v>0.4726027250289917</v>
      </c>
      <c r="K41" s="21">
        <v>0.27272728085517883</v>
      </c>
      <c r="L41" s="21">
        <v>0.2063492089509964</v>
      </c>
      <c r="M41" s="21">
        <v>0.54347825050354004</v>
      </c>
      <c r="N41" s="34">
        <v>3.0865158885717392E-2</v>
      </c>
      <c r="O41" s="21">
        <v>0.96464645862579346</v>
      </c>
      <c r="P41" s="2" t="s">
        <v>21</v>
      </c>
      <c r="Q41" s="2"/>
      <c r="R41" s="2"/>
      <c r="S41" s="2"/>
      <c r="T41" s="2"/>
      <c r="U41" s="2"/>
      <c r="V41" s="2"/>
      <c r="W41" s="2"/>
      <c r="X41" s="2"/>
      <c r="Y41" s="2"/>
      <c r="Z41" s="2"/>
    </row>
    <row r="42" spans="1:26" ht="12.75" customHeight="1" x14ac:dyDescent="0.25">
      <c r="A42" s="2" t="s">
        <v>59</v>
      </c>
      <c r="B42" s="19">
        <v>8.0076780319213867</v>
      </c>
      <c r="C42" s="21">
        <v>0.80000001192092896</v>
      </c>
      <c r="D42" s="21">
        <v>0.70588237047195435</v>
      </c>
      <c r="E42" s="21">
        <v>0.73333334922790527</v>
      </c>
      <c r="F42" s="21">
        <v>0.73333334922790527</v>
      </c>
      <c r="G42" s="21">
        <v>0.76923078298568726</v>
      </c>
      <c r="H42" s="21">
        <v>0.76923078298568726</v>
      </c>
      <c r="I42" s="21">
        <v>0.80000001192092896</v>
      </c>
      <c r="J42" s="21">
        <v>0.68874174356460571</v>
      </c>
      <c r="K42" s="21">
        <v>0.63636362552642822</v>
      </c>
      <c r="L42" s="21">
        <v>0.10489510744810104</v>
      </c>
      <c r="M42" s="21">
        <v>0.6086956262588501</v>
      </c>
      <c r="N42" s="34">
        <v>7.0303134620189667E-2</v>
      </c>
      <c r="O42" s="21">
        <v>0.98903775215148926</v>
      </c>
      <c r="P42" s="2" t="s">
        <v>26</v>
      </c>
      <c r="Q42" s="2"/>
      <c r="R42" s="2"/>
      <c r="S42" s="2"/>
      <c r="T42" s="2"/>
      <c r="U42" s="2"/>
      <c r="V42" s="2"/>
      <c r="W42" s="2"/>
      <c r="X42" s="2"/>
      <c r="Y42" s="2"/>
      <c r="Z42" s="2"/>
    </row>
    <row r="43" spans="1:26" ht="12.75" customHeight="1" x14ac:dyDescent="0.25">
      <c r="A43" s="2" t="s">
        <v>60</v>
      </c>
      <c r="B43" s="19">
        <v>6.7505702972412109</v>
      </c>
      <c r="C43" s="21">
        <v>0.74074071645736694</v>
      </c>
      <c r="D43" s="21">
        <v>0.72413790225982666</v>
      </c>
      <c r="E43" s="21">
        <v>0.63636362552642822</v>
      </c>
      <c r="F43" s="21">
        <v>0.79310345649719238</v>
      </c>
      <c r="G43" s="21">
        <v>0.75999999046325684</v>
      </c>
      <c r="H43" s="21">
        <v>0.68000000715255737</v>
      </c>
      <c r="I43" s="21">
        <v>0.75999999046325684</v>
      </c>
      <c r="J43" s="21">
        <v>0.60305345058441162</v>
      </c>
      <c r="K43" s="21">
        <v>0.21052631735801697</v>
      </c>
      <c r="L43" s="21">
        <v>0.16806723177433014</v>
      </c>
      <c r="M43" s="21">
        <v>0.59375</v>
      </c>
      <c r="N43" s="34">
        <v>3.2315578311681747E-2</v>
      </c>
      <c r="O43" s="21">
        <v>0.94482755661010742</v>
      </c>
      <c r="P43" s="2" t="s">
        <v>21</v>
      </c>
      <c r="Q43" s="2"/>
      <c r="R43" s="2"/>
      <c r="S43" s="2"/>
      <c r="T43" s="2"/>
      <c r="U43" s="2"/>
      <c r="V43" s="2"/>
      <c r="W43" s="2"/>
      <c r="X43" s="2"/>
      <c r="Y43" s="2"/>
      <c r="Z43" s="2"/>
    </row>
    <row r="44" spans="1:26" ht="12.75" customHeight="1" x14ac:dyDescent="0.25">
      <c r="A44" s="2" t="s">
        <v>61</v>
      </c>
      <c r="B44" s="19">
        <v>5.9996728897094727</v>
      </c>
      <c r="C44" s="21">
        <v>0.25</v>
      </c>
      <c r="D44" s="21">
        <v>0.59722220897674561</v>
      </c>
      <c r="E44" s="21">
        <v>0.34999999403953552</v>
      </c>
      <c r="F44" s="21">
        <v>0.70370370149612427</v>
      </c>
      <c r="G44" s="21">
        <v>0.77922075986862183</v>
      </c>
      <c r="H44" s="21">
        <v>0.71249997615814209</v>
      </c>
      <c r="I44" s="21">
        <v>0.58441555500030518</v>
      </c>
      <c r="J44" s="21">
        <v>0.50442475080490112</v>
      </c>
      <c r="K44" s="21">
        <v>0</v>
      </c>
      <c r="L44" s="21">
        <v>0.602150559425354</v>
      </c>
      <c r="M44" s="21">
        <v>0.73684209585189819</v>
      </c>
      <c r="N44" s="34">
        <v>3.7553232163190842E-2</v>
      </c>
      <c r="O44" s="21">
        <v>0.92783504724502563</v>
      </c>
      <c r="P44" s="2" t="s">
        <v>26</v>
      </c>
      <c r="Q44" s="2"/>
      <c r="R44" s="2"/>
      <c r="S44" s="2"/>
      <c r="T44" s="2"/>
      <c r="U44" s="2"/>
      <c r="V44" s="2"/>
      <c r="W44" s="2"/>
      <c r="X44" s="2"/>
      <c r="Y44" s="2"/>
      <c r="Z44" s="2"/>
    </row>
    <row r="45" spans="1:26" ht="12.75" customHeight="1" x14ac:dyDescent="0.25">
      <c r="A45" s="2" t="s">
        <v>62</v>
      </c>
      <c r="B45" s="19">
        <v>7.188408374786377</v>
      </c>
      <c r="C45" s="21">
        <v>0.60526317358016968</v>
      </c>
      <c r="D45" s="21">
        <v>0.82352942228317261</v>
      </c>
      <c r="E45" s="21">
        <v>0.86046510934829712</v>
      </c>
      <c r="F45" s="21">
        <v>0.87755101919174194</v>
      </c>
      <c r="G45" s="21">
        <v>0.83673471212387085</v>
      </c>
      <c r="H45" s="21">
        <v>0.60465115308761597</v>
      </c>
      <c r="I45" s="21">
        <v>0.875</v>
      </c>
      <c r="J45" s="21">
        <v>0.62676054239273071</v>
      </c>
      <c r="K45" s="21">
        <v>0.2222222238779068</v>
      </c>
      <c r="L45" s="21">
        <v>0.11851851642131805</v>
      </c>
      <c r="M45" s="21">
        <v>0.65217393636703491</v>
      </c>
      <c r="N45" s="34">
        <v>3.6157779395580292E-2</v>
      </c>
      <c r="O45" s="21">
        <v>0.96464645862579346</v>
      </c>
      <c r="P45" s="2" t="s">
        <v>18</v>
      </c>
      <c r="Q45" s="2"/>
      <c r="R45" s="2"/>
      <c r="S45" s="2"/>
      <c r="T45" s="2"/>
      <c r="U45" s="2"/>
      <c r="V45" s="2"/>
      <c r="W45" s="2"/>
      <c r="X45" s="2"/>
      <c r="Y45" s="2"/>
      <c r="Z45" s="2"/>
    </row>
    <row r="46" spans="1:26" ht="12.75" customHeight="1" x14ac:dyDescent="0.25">
      <c r="A46" s="2" t="s">
        <v>63</v>
      </c>
      <c r="B46" s="19">
        <v>7.8422470092773438</v>
      </c>
      <c r="C46" s="21">
        <v>0.77777779102325439</v>
      </c>
      <c r="D46" s="21">
        <v>0.81481480598449707</v>
      </c>
      <c r="E46" s="21">
        <v>0.74074071645736694</v>
      </c>
      <c r="F46" s="21">
        <v>0.62962961196899414</v>
      </c>
      <c r="G46" s="21">
        <v>0.75999999046325684</v>
      </c>
      <c r="H46" s="21">
        <v>0.79310345649719238</v>
      </c>
      <c r="I46" s="21">
        <v>0.75999999046325684</v>
      </c>
      <c r="J46" s="21">
        <v>0.56074768304824829</v>
      </c>
      <c r="K46" s="21">
        <v>0.5</v>
      </c>
      <c r="L46" s="21">
        <v>0.1428571492433548</v>
      </c>
      <c r="M46" s="21">
        <v>0.6086956262588501</v>
      </c>
      <c r="N46" s="34">
        <v>6.7099563777446747E-2</v>
      </c>
      <c r="O46" s="21">
        <v>0.96236556768417358</v>
      </c>
      <c r="P46" s="2" t="s">
        <v>26</v>
      </c>
      <c r="Q46" s="2"/>
      <c r="R46" s="2"/>
      <c r="S46" s="2"/>
      <c r="T46" s="2"/>
      <c r="U46" s="2"/>
      <c r="V46" s="2"/>
      <c r="W46" s="2"/>
      <c r="X46" s="2"/>
      <c r="Y46" s="2"/>
      <c r="Z46" s="2"/>
    </row>
    <row r="47" spans="1:26" ht="12.75" customHeight="1" x14ac:dyDescent="0.25">
      <c r="A47" s="2" t="s">
        <v>64</v>
      </c>
      <c r="B47" s="19">
        <v>7.1825962066650391</v>
      </c>
      <c r="C47" s="21">
        <v>0.76923078298568726</v>
      </c>
      <c r="D47" s="21">
        <v>0.89999997615814209</v>
      </c>
      <c r="E47" s="21">
        <v>0.75</v>
      </c>
      <c r="F47" s="21">
        <v>0.6428571343421936</v>
      </c>
      <c r="G47" s="21">
        <v>0.75</v>
      </c>
      <c r="H47" s="21">
        <v>0.72727274894714355</v>
      </c>
      <c r="I47" s="21">
        <v>0.78571426868438721</v>
      </c>
      <c r="J47" s="21">
        <v>0.6696428656578064</v>
      </c>
      <c r="K47" s="21">
        <v>0.40000000596046448</v>
      </c>
      <c r="L47" s="21">
        <v>6.6666670143604279E-2</v>
      </c>
      <c r="M47" s="21">
        <v>0.3571428656578064</v>
      </c>
      <c r="N47" s="34">
        <v>4.0305767208337784E-2</v>
      </c>
      <c r="O47" s="21">
        <v>0.9482758641242981</v>
      </c>
      <c r="P47" s="2" t="s">
        <v>26</v>
      </c>
      <c r="Q47" s="2"/>
      <c r="R47" s="2"/>
      <c r="S47" s="2"/>
      <c r="T47" s="2"/>
      <c r="U47" s="2"/>
      <c r="V47" s="2"/>
      <c r="W47" s="2"/>
      <c r="X47" s="2"/>
      <c r="Y47" s="2"/>
      <c r="Z47" s="2"/>
    </row>
    <row r="48" spans="1:26" ht="12.75" customHeight="1" x14ac:dyDescent="0.25">
      <c r="A48" s="2" t="s">
        <v>65</v>
      </c>
      <c r="B48" s="19">
        <v>6.6831045150756836</v>
      </c>
      <c r="C48" s="21">
        <v>0.41860464215278625</v>
      </c>
      <c r="D48" s="21">
        <v>0.52272725105285645</v>
      </c>
      <c r="E48" s="21">
        <v>0.55319148302078247</v>
      </c>
      <c r="F48" s="21">
        <v>0.9047619104385376</v>
      </c>
      <c r="G48" s="21">
        <v>0.82926827669143677</v>
      </c>
      <c r="H48" s="21">
        <v>0.92682927846908569</v>
      </c>
      <c r="I48" s="21">
        <v>0.51219511032104492</v>
      </c>
      <c r="J48" s="21">
        <v>0.36734694242477417</v>
      </c>
      <c r="K48" s="21">
        <v>0.11764705926179886</v>
      </c>
      <c r="L48" s="21">
        <v>0.18439716100692749</v>
      </c>
      <c r="M48" s="21">
        <v>0.71875</v>
      </c>
      <c r="N48" s="34">
        <v>4.3940190225839615E-2</v>
      </c>
      <c r="O48" s="21">
        <v>0.97611939907073975</v>
      </c>
      <c r="P48" s="2" t="s">
        <v>26</v>
      </c>
      <c r="Q48" s="2"/>
      <c r="R48" s="2"/>
      <c r="S48" s="2"/>
      <c r="T48" s="2"/>
      <c r="U48" s="2"/>
      <c r="V48" s="2"/>
      <c r="W48" s="2"/>
      <c r="X48" s="2"/>
      <c r="Y48" s="2"/>
      <c r="Z48" s="2"/>
    </row>
    <row r="49" spans="1:26" ht="12.75" customHeight="1" x14ac:dyDescent="0.25">
      <c r="A49" s="2" t="s">
        <v>66</v>
      </c>
      <c r="B49" s="19">
        <v>7.3338842391967773</v>
      </c>
      <c r="C49" s="21">
        <v>0.55555558204650879</v>
      </c>
      <c r="D49" s="21">
        <v>0.73333334922790527</v>
      </c>
      <c r="E49" s="21">
        <v>0.67857140302658081</v>
      </c>
      <c r="F49" s="21">
        <v>0.93548387289047241</v>
      </c>
      <c r="G49" s="21">
        <v>0.90322577953338623</v>
      </c>
      <c r="H49" s="21">
        <v>0.87878787517547607</v>
      </c>
      <c r="I49" s="21">
        <v>0.69999998807907104</v>
      </c>
      <c r="J49" s="21">
        <v>0.43801653385162354</v>
      </c>
      <c r="K49" s="21">
        <v>0</v>
      </c>
      <c r="L49" s="21">
        <v>0.18181818723678589</v>
      </c>
      <c r="M49" s="21">
        <v>0.61290323734283447</v>
      </c>
      <c r="N49" s="34">
        <v>4.9242425709962845E-2</v>
      </c>
      <c r="O49" s="21">
        <v>0.97165989875793457</v>
      </c>
      <c r="P49" s="2" t="s">
        <v>26</v>
      </c>
      <c r="Q49" s="2"/>
      <c r="R49" s="2"/>
      <c r="S49" s="2"/>
      <c r="T49" s="2"/>
      <c r="U49" s="2"/>
      <c r="V49" s="2"/>
      <c r="W49" s="2"/>
      <c r="X49" s="2"/>
      <c r="Y49" s="2"/>
      <c r="Z49" s="2"/>
    </row>
    <row r="50" spans="1:26" ht="12.75" customHeight="1" x14ac:dyDescent="0.25">
      <c r="A50" s="2" t="s">
        <v>67</v>
      </c>
      <c r="B50" s="19">
        <v>7.4033331871032715</v>
      </c>
      <c r="C50" s="21">
        <v>0.65217393636703491</v>
      </c>
      <c r="D50" s="21">
        <v>0.75</v>
      </c>
      <c r="E50" s="21">
        <v>0.77777779102325439</v>
      </c>
      <c r="F50" s="21">
        <v>0.81081080436706543</v>
      </c>
      <c r="G50" s="21">
        <v>0.84848487377166748</v>
      </c>
      <c r="H50" s="21">
        <v>0.79411762952804565</v>
      </c>
      <c r="I50" s="21">
        <v>0.81578946113586426</v>
      </c>
      <c r="J50" s="21">
        <v>0.47999998927116394</v>
      </c>
      <c r="K50" s="21">
        <v>0.3333333432674408</v>
      </c>
      <c r="L50" s="21">
        <v>0.12080536782741547</v>
      </c>
      <c r="M50" s="21">
        <v>0.40909090638160706</v>
      </c>
      <c r="N50" s="34">
        <v>4.7562707215547562E-2</v>
      </c>
      <c r="O50" s="21">
        <v>0.98258703947067261</v>
      </c>
      <c r="P50" s="2" t="s">
        <v>21</v>
      </c>
      <c r="Q50" s="2"/>
      <c r="R50" s="2"/>
      <c r="S50" s="2"/>
      <c r="T50" s="2"/>
      <c r="U50" s="2"/>
      <c r="V50" s="2"/>
      <c r="W50" s="2"/>
      <c r="X50" s="2"/>
      <c r="Y50" s="2"/>
      <c r="Z50" s="2"/>
    </row>
    <row r="51" spans="1:26" ht="12.75" customHeight="1" x14ac:dyDescent="0.25">
      <c r="A51" s="2" t="s">
        <v>68</v>
      </c>
      <c r="B51" s="19">
        <v>6.2106561660766602</v>
      </c>
      <c r="C51" s="21">
        <v>0.68421053886413574</v>
      </c>
      <c r="D51" s="21">
        <v>0.63636362552642822</v>
      </c>
      <c r="E51" s="21">
        <v>0.66666668653488159</v>
      </c>
      <c r="F51" s="21">
        <v>0.60000002384185791</v>
      </c>
      <c r="G51" s="21">
        <v>0.55555558204650879</v>
      </c>
      <c r="H51" s="21">
        <v>0.63636362552642822</v>
      </c>
      <c r="I51" s="21">
        <v>0.8571428656578064</v>
      </c>
      <c r="J51" s="21">
        <v>0.62616825103759766</v>
      </c>
      <c r="K51" s="21">
        <v>0.42105263471603394</v>
      </c>
      <c r="L51" s="21">
        <v>7.9207919538021088E-2</v>
      </c>
      <c r="M51" s="21">
        <v>0.4285714328289032</v>
      </c>
      <c r="N51" s="34">
        <v>2.6024723425507545E-2</v>
      </c>
      <c r="O51" s="21">
        <v>0.91250002384185791</v>
      </c>
      <c r="P51" s="2" t="s">
        <v>26</v>
      </c>
      <c r="Q51" s="2"/>
      <c r="R51" s="2"/>
      <c r="S51" s="2"/>
      <c r="T51" s="2"/>
      <c r="U51" s="2"/>
      <c r="V51" s="2"/>
      <c r="W51" s="2"/>
      <c r="X51" s="2"/>
      <c r="Y51" s="2"/>
      <c r="Z51" s="2"/>
    </row>
    <row r="52" spans="1:26" ht="12.75" customHeight="1" x14ac:dyDescent="0.25">
      <c r="A52" s="2" t="s">
        <v>69</v>
      </c>
      <c r="B52" s="19">
        <v>7.4484906196594238</v>
      </c>
      <c r="C52" s="21">
        <v>0.82926827669143677</v>
      </c>
      <c r="D52" s="21">
        <v>0.89189189672470093</v>
      </c>
      <c r="E52" s="21">
        <v>0.89999997615814209</v>
      </c>
      <c r="F52" s="21">
        <v>0.8611111044883728</v>
      </c>
      <c r="G52" s="21">
        <v>0.82857143878936768</v>
      </c>
      <c r="H52" s="21">
        <v>0.82051283121109009</v>
      </c>
      <c r="I52" s="21">
        <v>0.91428571939468384</v>
      </c>
      <c r="J52" s="21">
        <v>0.55660378932952881</v>
      </c>
      <c r="K52" s="21">
        <v>0.54545456171035767</v>
      </c>
      <c r="L52" s="21">
        <v>0.20408163964748383</v>
      </c>
      <c r="M52" s="21">
        <v>0.67857140302658081</v>
      </c>
      <c r="N52" s="34">
        <v>2.6889041066169739E-2</v>
      </c>
      <c r="O52" s="21">
        <v>0.91139239072799683</v>
      </c>
      <c r="P52" s="2" t="s">
        <v>15</v>
      </c>
      <c r="Q52" s="2"/>
      <c r="R52" s="2"/>
      <c r="S52" s="2"/>
      <c r="T52" s="2"/>
      <c r="U52" s="2"/>
      <c r="V52" s="2"/>
      <c r="W52" s="2"/>
      <c r="X52" s="2"/>
      <c r="Y52" s="2"/>
      <c r="Z52" s="2"/>
    </row>
    <row r="53" spans="1:26" ht="12.75" customHeight="1" x14ac:dyDescent="0.25">
      <c r="A53" s="2" t="s">
        <v>70</v>
      </c>
      <c r="B53" s="19">
        <v>7.0093445777893066</v>
      </c>
      <c r="C53" s="21">
        <v>0.57894736528396606</v>
      </c>
      <c r="D53" s="21">
        <v>0.8095238208770752</v>
      </c>
      <c r="E53" s="21">
        <v>0.6875</v>
      </c>
      <c r="F53" s="21">
        <v>0.69565218687057495</v>
      </c>
      <c r="G53" s="21">
        <v>0.73684209585189819</v>
      </c>
      <c r="H53" s="21">
        <v>0.80000001192092896</v>
      </c>
      <c r="I53" s="21">
        <v>0.71428573131561279</v>
      </c>
      <c r="J53" s="21">
        <v>0.64220184087753296</v>
      </c>
      <c r="K53" s="21">
        <v>0.46666666865348816</v>
      </c>
      <c r="L53" s="21">
        <v>0.12871287763118744</v>
      </c>
      <c r="M53" s="21">
        <v>0.4761904776096344</v>
      </c>
      <c r="N53" s="34">
        <v>4.3372318148612976E-2</v>
      </c>
      <c r="O53" s="21">
        <v>0.92134833335876465</v>
      </c>
      <c r="P53" s="2" t="s">
        <v>18</v>
      </c>
      <c r="Q53" s="2"/>
      <c r="R53" s="2"/>
      <c r="S53" s="2"/>
      <c r="T53" s="2"/>
      <c r="U53" s="2"/>
      <c r="V53" s="2"/>
      <c r="W53" s="2"/>
      <c r="X53" s="2"/>
      <c r="Y53" s="2"/>
      <c r="Z53" s="2"/>
    </row>
    <row r="54" spans="1:26" ht="12.75" customHeight="1" x14ac:dyDescent="0.25">
      <c r="A54" s="2" t="s">
        <v>78</v>
      </c>
      <c r="B54" s="19">
        <v>7.046867847442627</v>
      </c>
      <c r="C54" s="21">
        <v>0.55555558204650879</v>
      </c>
      <c r="D54" s="21">
        <v>0.63333332538604736</v>
      </c>
      <c r="E54" s="21">
        <v>0.71428573131561279</v>
      </c>
      <c r="F54" s="21">
        <v>0.83870965242385864</v>
      </c>
      <c r="G54" s="21">
        <v>0.73333334922790527</v>
      </c>
      <c r="H54" s="21">
        <v>0.79411762952804565</v>
      </c>
      <c r="I54" s="21">
        <v>0.76666665077209473</v>
      </c>
      <c r="J54" s="21">
        <v>0.56910568475723267</v>
      </c>
      <c r="K54" s="21">
        <v>0.4444444477558136</v>
      </c>
      <c r="L54" s="21">
        <v>0.15454545617103577</v>
      </c>
      <c r="M54" s="21">
        <v>0.40000000596046448</v>
      </c>
      <c r="N54" s="34">
        <v>4.5483261346817017E-2</v>
      </c>
      <c r="O54" s="21">
        <v>0.96296298503875732</v>
      </c>
      <c r="P54" s="2" t="s">
        <v>26</v>
      </c>
      <c r="Q54" s="2"/>
      <c r="R54" s="2"/>
      <c r="S54" s="2"/>
      <c r="T54" s="2"/>
      <c r="U54" s="2"/>
      <c r="V54" s="2"/>
      <c r="W54" s="2"/>
      <c r="X54" s="2"/>
      <c r="Y54" s="2"/>
      <c r="Z54" s="2"/>
    </row>
    <row r="55" spans="1:26" ht="12.75" customHeight="1" x14ac:dyDescent="0.25">
      <c r="A55" s="2" t="s">
        <v>71</v>
      </c>
      <c r="B55" s="19">
        <v>7.0363755226135254</v>
      </c>
      <c r="C55" s="21">
        <v>0.4444444477558136</v>
      </c>
      <c r="D55" s="21">
        <v>0.82857143878936768</v>
      </c>
      <c r="E55" s="21">
        <v>0.75</v>
      </c>
      <c r="F55" s="21">
        <v>0.72727274894714355</v>
      </c>
      <c r="G55" s="21">
        <v>0.74358975887298584</v>
      </c>
      <c r="H55" s="21">
        <v>0.75</v>
      </c>
      <c r="I55" s="21">
        <v>0.89473682641983032</v>
      </c>
      <c r="J55" s="21">
        <v>0.31496062874794006</v>
      </c>
      <c r="K55" s="21">
        <v>0.1428571492433548</v>
      </c>
      <c r="L55" s="21">
        <v>6.8965516984462738E-2</v>
      </c>
      <c r="M55" s="21">
        <v>0.4444444477558136</v>
      </c>
      <c r="N55" s="34">
        <v>4.7640655189752579E-2</v>
      </c>
      <c r="O55" s="21">
        <v>0.95714282989501953</v>
      </c>
      <c r="P55" s="2" t="s">
        <v>24</v>
      </c>
      <c r="Q55" s="2"/>
      <c r="R55" s="2"/>
      <c r="S55" s="2"/>
      <c r="T55" s="2"/>
      <c r="U55" s="2"/>
      <c r="V55" s="2"/>
      <c r="W55" s="2"/>
      <c r="X55" s="2"/>
      <c r="Y55" s="2"/>
      <c r="Z55" s="2"/>
    </row>
    <row r="56" spans="1:26" ht="12.75" customHeight="1" x14ac:dyDescent="0.25">
      <c r="A56" s="2" t="s">
        <v>72</v>
      </c>
      <c r="B56" s="19">
        <v>7.6456761360168457</v>
      </c>
      <c r="C56" s="21">
        <v>0.54838711023330688</v>
      </c>
      <c r="D56" s="21">
        <v>0.7804877758026123</v>
      </c>
      <c r="E56" s="21">
        <v>0.76744186878204346</v>
      </c>
      <c r="F56" s="21">
        <v>0.8095238208770752</v>
      </c>
      <c r="G56" s="21">
        <v>0.86363637447357178</v>
      </c>
      <c r="H56" s="21">
        <v>0.875</v>
      </c>
      <c r="I56" s="21">
        <v>0.82608693838119507</v>
      </c>
      <c r="J56" s="21">
        <v>0.5118110179901123</v>
      </c>
      <c r="K56" s="21">
        <v>0.4583333432674408</v>
      </c>
      <c r="L56" s="21">
        <v>0.21367521584033966</v>
      </c>
      <c r="M56" s="21">
        <v>0.60000002384185791</v>
      </c>
      <c r="N56" s="34">
        <v>5.2696295082569122E-2</v>
      </c>
      <c r="O56" s="21">
        <v>0.97666668891906738</v>
      </c>
      <c r="P56" s="2" t="s">
        <v>21</v>
      </c>
      <c r="Q56" s="2"/>
      <c r="R56" s="2"/>
      <c r="S56" s="2"/>
      <c r="T56" s="2"/>
      <c r="U56" s="2"/>
      <c r="V56" s="2"/>
      <c r="W56" s="2"/>
      <c r="X56" s="2"/>
      <c r="Y56" s="2"/>
      <c r="Z56" s="2"/>
    </row>
    <row r="57" spans="1:26" ht="12.75" customHeight="1" x14ac:dyDescent="0.25">
      <c r="A57" s="2" t="s">
        <v>73</v>
      </c>
      <c r="B57" s="19">
        <v>7.5812296867370605</v>
      </c>
      <c r="C57" s="21">
        <v>0.625</v>
      </c>
      <c r="D57" s="21">
        <v>0.72727274894714355</v>
      </c>
      <c r="E57" s="21">
        <v>0.75</v>
      </c>
      <c r="F57" s="21">
        <v>0.86666667461395264</v>
      </c>
      <c r="G57" s="21">
        <v>0.83870965242385864</v>
      </c>
      <c r="H57" s="21">
        <v>0.79411762952804565</v>
      </c>
      <c r="I57" s="21">
        <v>0.83333331346511841</v>
      </c>
      <c r="J57" s="21">
        <v>0.56451612710952759</v>
      </c>
      <c r="K57" s="21">
        <v>0.375</v>
      </c>
      <c r="L57" s="21">
        <v>0.14049586653709412</v>
      </c>
      <c r="M57" s="21">
        <v>0.69999998807907104</v>
      </c>
      <c r="N57" s="34">
        <v>5.2943579852581024E-2</v>
      </c>
      <c r="O57" s="21">
        <v>0.96911197900772095</v>
      </c>
      <c r="P57" s="2" t="s">
        <v>18</v>
      </c>
      <c r="Q57" s="2"/>
      <c r="R57" s="2"/>
      <c r="S57" s="2"/>
      <c r="T57" s="2"/>
      <c r="U57" s="2"/>
      <c r="V57" s="2"/>
      <c r="W57" s="2"/>
      <c r="X57" s="2"/>
      <c r="Y57" s="2"/>
      <c r="Z57" s="2"/>
    </row>
    <row r="58" spans="1:26" ht="12.75" customHeight="1" x14ac:dyDescent="0.25">
      <c r="A58" s="2" t="s">
        <v>74</v>
      </c>
      <c r="B58" s="19">
        <v>6.8246045112609863</v>
      </c>
      <c r="C58" s="21">
        <v>0.51999998092651367</v>
      </c>
      <c r="D58" s="21">
        <v>0.72881358861923218</v>
      </c>
      <c r="E58" s="21">
        <v>0.67307692766189575</v>
      </c>
      <c r="F58" s="21">
        <v>0.72222220897674561</v>
      </c>
      <c r="G58" s="21">
        <v>0.67924529314041138</v>
      </c>
      <c r="H58" s="21">
        <v>0.67272728681564331</v>
      </c>
      <c r="I58" s="21">
        <v>0.69811320304870605</v>
      </c>
      <c r="J58" s="21">
        <v>0.61250001192092896</v>
      </c>
      <c r="K58" s="21">
        <v>0.55555558204650879</v>
      </c>
      <c r="L58" s="21">
        <v>0.29032257199287415</v>
      </c>
      <c r="M58" s="21">
        <v>0.75999999046325684</v>
      </c>
      <c r="N58" s="34">
        <v>3.7962961941957474E-2</v>
      </c>
      <c r="O58" s="21">
        <v>0.98686677217483521</v>
      </c>
      <c r="P58" s="2" t="s">
        <v>26</v>
      </c>
      <c r="Q58" s="2"/>
      <c r="R58" s="2"/>
      <c r="S58" s="2"/>
      <c r="T58" s="2"/>
      <c r="U58" s="2"/>
      <c r="V58" s="2"/>
      <c r="W58" s="2"/>
      <c r="X58" s="2"/>
      <c r="Y58" s="2"/>
      <c r="Z58" s="2"/>
    </row>
    <row r="59" spans="1:26" ht="12.75" customHeight="1" x14ac:dyDescent="0.25">
      <c r="A59" s="2" t="s">
        <v>75</v>
      </c>
      <c r="B59" s="19">
        <v>7.5219564437866211</v>
      </c>
      <c r="C59" s="21">
        <v>0.73076921701431274</v>
      </c>
      <c r="D59" s="21">
        <v>0.69565218687057495</v>
      </c>
      <c r="E59" s="21">
        <v>0.86666667461395264</v>
      </c>
      <c r="F59" s="21">
        <v>0.76923078298568726</v>
      </c>
      <c r="G59" s="21">
        <v>0.875</v>
      </c>
      <c r="H59" s="21">
        <v>0.78947371244430542</v>
      </c>
      <c r="I59" s="21">
        <v>0.94736844301223755</v>
      </c>
      <c r="J59" s="21">
        <v>0.4821428656578064</v>
      </c>
      <c r="K59" s="21">
        <v>0.77777779102325439</v>
      </c>
      <c r="L59" s="21">
        <v>0.1428571492433548</v>
      </c>
      <c r="M59" s="21">
        <v>0.3571428656578064</v>
      </c>
      <c r="N59" s="34">
        <v>4.2787045240402222E-2</v>
      </c>
      <c r="O59" s="21">
        <v>0.96788990497589111</v>
      </c>
      <c r="P59" s="2" t="s">
        <v>15</v>
      </c>
      <c r="Q59" s="2"/>
      <c r="R59" s="2"/>
      <c r="S59" s="2"/>
      <c r="T59" s="2"/>
      <c r="U59" s="2"/>
      <c r="V59" s="2"/>
      <c r="W59" s="2"/>
      <c r="X59" s="2"/>
      <c r="Y59" s="2"/>
      <c r="Z59" s="2"/>
    </row>
    <row r="60" spans="1:26" ht="12.75" customHeight="1" x14ac:dyDescent="0.25">
      <c r="A60" s="2" t="s">
        <v>77</v>
      </c>
      <c r="B60" s="19">
        <v>8.102046012878418</v>
      </c>
      <c r="C60" s="21">
        <v>0.58064514398574829</v>
      </c>
      <c r="D60" s="21">
        <v>0.77419352531433105</v>
      </c>
      <c r="E60" s="21">
        <v>0.65517240762710571</v>
      </c>
      <c r="F60" s="21">
        <v>0.8888888955116272</v>
      </c>
      <c r="G60" s="21">
        <v>0.89655172824859619</v>
      </c>
      <c r="H60" s="21">
        <v>0.88235294818878174</v>
      </c>
      <c r="I60" s="21">
        <v>0.71875</v>
      </c>
      <c r="J60" s="21">
        <v>0.41747573018074036</v>
      </c>
      <c r="K60" s="21">
        <v>0.15384615957736969</v>
      </c>
      <c r="L60" s="21">
        <v>0.2222222238779068</v>
      </c>
      <c r="M60" s="21">
        <v>0.76923078298568726</v>
      </c>
      <c r="N60" s="34">
        <v>7.9576730728149414E-2</v>
      </c>
      <c r="O60" s="21">
        <v>0.96276593208312988</v>
      </c>
      <c r="P60" s="2" t="s">
        <v>15</v>
      </c>
      <c r="Q60" s="2"/>
      <c r="R60" s="2"/>
      <c r="S60" s="2"/>
      <c r="T60" s="2"/>
      <c r="U60" s="2"/>
      <c r="V60" s="2"/>
      <c r="W60" s="2"/>
      <c r="X60" s="2"/>
      <c r="Y60" s="2"/>
      <c r="Z60" s="2"/>
    </row>
    <row r="61" spans="1:26" ht="12.75" customHeight="1" x14ac:dyDescent="0.25">
      <c r="A61" s="2" t="s">
        <v>79</v>
      </c>
      <c r="B61" s="19">
        <v>7.463320255279541</v>
      </c>
      <c r="C61" s="21">
        <v>0.79411762952804565</v>
      </c>
      <c r="D61" s="21">
        <v>0.81481480598449707</v>
      </c>
      <c r="E61" s="21">
        <v>0.89999997615814209</v>
      </c>
      <c r="F61" s="21">
        <v>0.89655172824859619</v>
      </c>
      <c r="G61" s="21">
        <v>0.80769228935241699</v>
      </c>
      <c r="H61" s="21">
        <v>0.85185188055038452</v>
      </c>
      <c r="I61" s="21">
        <v>0.86206895112991333</v>
      </c>
      <c r="J61" s="21">
        <v>0.57692307233810425</v>
      </c>
      <c r="K61" s="21">
        <v>0.34999999403953552</v>
      </c>
      <c r="L61" s="21">
        <v>0.16494844853878021</v>
      </c>
      <c r="M61" s="21">
        <v>0.65217393636703491</v>
      </c>
      <c r="N61" s="34">
        <v>3.6052010953426361E-2</v>
      </c>
      <c r="O61" s="21">
        <v>0.8852459192276001</v>
      </c>
      <c r="P61" s="2" t="s">
        <v>18</v>
      </c>
      <c r="Q61" s="2"/>
      <c r="R61" s="2"/>
      <c r="S61" s="2"/>
      <c r="T61" s="2"/>
      <c r="U61" s="2"/>
      <c r="V61" s="2"/>
      <c r="W61" s="2"/>
      <c r="X61" s="2"/>
      <c r="Y61" s="2"/>
      <c r="Z61" s="2"/>
    </row>
    <row r="62" spans="1:26" ht="12.75" customHeight="1" x14ac:dyDescent="0.25">
      <c r="A62" s="2" t="s">
        <v>80</v>
      </c>
      <c r="B62" s="19">
        <v>7.1456456184387207</v>
      </c>
      <c r="C62" s="21">
        <v>0.47692307829856873</v>
      </c>
      <c r="D62" s="21">
        <v>0.56716418266296387</v>
      </c>
      <c r="E62" s="21">
        <v>0.53125</v>
      </c>
      <c r="F62" s="21">
        <v>0.9682539701461792</v>
      </c>
      <c r="G62" s="21">
        <v>0.96969699859619141</v>
      </c>
      <c r="H62" s="21">
        <v>0.9375</v>
      </c>
      <c r="I62" s="21">
        <v>0.53846156597137451</v>
      </c>
      <c r="J62" s="21">
        <v>0.36220473051071167</v>
      </c>
      <c r="K62" s="21">
        <v>9.6153847873210907E-2</v>
      </c>
      <c r="L62" s="21">
        <v>0.45378151535987854</v>
      </c>
      <c r="M62" s="21">
        <v>0.85483872890472412</v>
      </c>
      <c r="N62" s="34">
        <v>5.2611939609050751E-2</v>
      </c>
      <c r="O62" s="21">
        <v>0.95035463571548462</v>
      </c>
      <c r="P62" s="2" t="s">
        <v>15</v>
      </c>
      <c r="Q62" s="2"/>
      <c r="R62" s="2"/>
      <c r="S62" s="2"/>
      <c r="T62" s="2"/>
      <c r="U62" s="2"/>
      <c r="V62" s="2"/>
      <c r="W62" s="2"/>
      <c r="X62" s="2"/>
      <c r="Y62" s="2"/>
      <c r="Z62" s="2"/>
    </row>
    <row r="63" spans="1:26" ht="12.75" customHeight="1" x14ac:dyDescent="0.25">
      <c r="A63" s="2" t="s">
        <v>81</v>
      </c>
      <c r="B63" s="19">
        <v>7.1674513816833496</v>
      </c>
      <c r="C63" s="21">
        <v>0.70270270109176636</v>
      </c>
      <c r="D63" s="21">
        <v>0.65306121110916138</v>
      </c>
      <c r="E63" s="21">
        <v>0.72916668653488159</v>
      </c>
      <c r="F63" s="21">
        <v>0.80000001192092896</v>
      </c>
      <c r="G63" s="21">
        <v>0.80434781312942505</v>
      </c>
      <c r="H63" s="21">
        <v>0.78260868787765503</v>
      </c>
      <c r="I63" s="21">
        <v>0.79166668653488159</v>
      </c>
      <c r="J63" s="21">
        <v>0.49142858386039734</v>
      </c>
      <c r="K63" s="21">
        <v>0.26829269528388977</v>
      </c>
      <c r="L63" s="21">
        <v>0.12195122241973877</v>
      </c>
      <c r="M63" s="21">
        <v>0.54838711023330688</v>
      </c>
      <c r="N63" s="34">
        <v>4.3705590069293976E-2</v>
      </c>
      <c r="O63" s="21">
        <v>0.97852760553359985</v>
      </c>
      <c r="P63" s="2" t="s">
        <v>21</v>
      </c>
      <c r="Q63" s="2"/>
      <c r="R63" s="2"/>
      <c r="S63" s="2"/>
      <c r="T63" s="2"/>
      <c r="U63" s="2"/>
      <c r="V63" s="2"/>
      <c r="W63" s="2"/>
      <c r="X63" s="2"/>
      <c r="Y63" s="2"/>
      <c r="Z63" s="2"/>
    </row>
    <row r="64" spans="1:26" ht="12.75" customHeight="1" x14ac:dyDescent="0.25">
      <c r="A64" s="5" t="s">
        <v>82</v>
      </c>
      <c r="B64" s="28">
        <v>6.6187896728515625</v>
      </c>
      <c r="C64" s="29">
        <v>0.70270270109176636</v>
      </c>
      <c r="D64" s="29">
        <v>0.57894736528396606</v>
      </c>
      <c r="E64" s="29">
        <v>0.82352942228317261</v>
      </c>
      <c r="F64" s="29">
        <v>0.8125</v>
      </c>
      <c r="G64" s="29">
        <v>0.8888888955116272</v>
      </c>
      <c r="H64" s="29">
        <v>0.57894736528396606</v>
      </c>
      <c r="I64" s="29">
        <v>0.76923078298568726</v>
      </c>
      <c r="J64" s="29">
        <v>0.67272728681564331</v>
      </c>
      <c r="K64" s="29">
        <v>0.6875</v>
      </c>
      <c r="L64" s="29">
        <v>0.1962616890668869</v>
      </c>
      <c r="M64" s="29">
        <v>0.70833331346511841</v>
      </c>
      <c r="N64" s="40">
        <v>2.6568682864308357E-2</v>
      </c>
      <c r="O64" s="29">
        <v>0.85106384754180908</v>
      </c>
      <c r="P64" s="5" t="s">
        <v>18</v>
      </c>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15" t="e">
        <f>#REF!</f>
        <v>#REF!</v>
      </c>
      <c r="B66" s="16">
        <f t="shared" ref="B66:O66" si="0">SUMIF($A$2:$A$64,$A$66,B2:B64)</f>
        <v>0</v>
      </c>
      <c r="C66" s="17">
        <f t="shared" si="0"/>
        <v>0</v>
      </c>
      <c r="D66" s="17">
        <f t="shared" si="0"/>
        <v>0</v>
      </c>
      <c r="E66" s="17">
        <f t="shared" si="0"/>
        <v>0</v>
      </c>
      <c r="F66" s="17">
        <f t="shared" si="0"/>
        <v>0</v>
      </c>
      <c r="G66" s="17">
        <f t="shared" si="0"/>
        <v>0</v>
      </c>
      <c r="H66" s="17">
        <f t="shared" si="0"/>
        <v>0</v>
      </c>
      <c r="I66" s="17">
        <f t="shared" si="0"/>
        <v>0</v>
      </c>
      <c r="J66" s="17">
        <f t="shared" si="0"/>
        <v>0</v>
      </c>
      <c r="K66" s="17">
        <f t="shared" si="0"/>
        <v>0</v>
      </c>
      <c r="L66" s="17">
        <f t="shared" si="0"/>
        <v>0</v>
      </c>
      <c r="M66" s="17">
        <f t="shared" si="0"/>
        <v>0</v>
      </c>
      <c r="N66" s="41">
        <f t="shared" si="0"/>
        <v>0</v>
      </c>
      <c r="O66" s="17">
        <f t="shared" si="0"/>
        <v>0</v>
      </c>
      <c r="P66" s="2"/>
      <c r="Q66" s="2"/>
      <c r="R66" s="2"/>
      <c r="S66" s="2"/>
      <c r="T66" s="2"/>
      <c r="U66" s="2"/>
      <c r="V66" s="2"/>
      <c r="W66" s="2"/>
      <c r="X66" s="2"/>
      <c r="Y66" s="2"/>
      <c r="Z66" s="2"/>
    </row>
    <row r="67" spans="1:26" ht="12.75" customHeight="1" x14ac:dyDescent="0.25">
      <c r="A67" s="2" t="s">
        <v>102</v>
      </c>
      <c r="B67" s="19">
        <f t="shared" ref="B67:O67" si="1">MIN(B2:B64)</f>
        <v>5.6797394752502441</v>
      </c>
      <c r="C67" s="21">
        <f t="shared" si="1"/>
        <v>0.22499999403953552</v>
      </c>
      <c r="D67" s="21">
        <f t="shared" si="1"/>
        <v>0.36734694242477417</v>
      </c>
      <c r="E67" s="21">
        <f t="shared" si="1"/>
        <v>0.34999999403953552</v>
      </c>
      <c r="F67" s="21">
        <f t="shared" si="1"/>
        <v>0.58333331346511841</v>
      </c>
      <c r="G67" s="21">
        <f t="shared" si="1"/>
        <v>0.55555558204650879</v>
      </c>
      <c r="H67" s="21">
        <f t="shared" si="1"/>
        <v>0.52941179275512695</v>
      </c>
      <c r="I67" s="21">
        <f t="shared" si="1"/>
        <v>0.37931033968925476</v>
      </c>
      <c r="J67" s="21">
        <f t="shared" si="1"/>
        <v>0.15999999642372131</v>
      </c>
      <c r="K67" s="21">
        <f t="shared" si="1"/>
        <v>0</v>
      </c>
      <c r="L67" s="21">
        <f t="shared" si="1"/>
        <v>5.833333358168602E-2</v>
      </c>
      <c r="M67" s="21">
        <f t="shared" si="1"/>
        <v>0.2199999988079071</v>
      </c>
      <c r="N67" s="34">
        <f t="shared" si="1"/>
        <v>2.1709633991122246E-2</v>
      </c>
      <c r="O67" s="21">
        <f t="shared" si="1"/>
        <v>0.5625</v>
      </c>
      <c r="P67" s="2"/>
      <c r="Q67" s="2"/>
      <c r="R67" s="2"/>
      <c r="S67" s="2"/>
      <c r="T67" s="2"/>
      <c r="U67" s="2"/>
      <c r="V67" s="2"/>
      <c r="W67" s="2"/>
      <c r="X67" s="2"/>
      <c r="Y67" s="2"/>
      <c r="Z67" s="2"/>
    </row>
    <row r="68" spans="1:26" ht="12.75" customHeight="1" x14ac:dyDescent="0.25">
      <c r="A68" s="2" t="s">
        <v>103</v>
      </c>
      <c r="B68" s="19">
        <f t="shared" ref="B68:O68" si="2">MEDIAN(B2:B64)</f>
        <v>7.1825962066650391</v>
      </c>
      <c r="C68" s="21">
        <f t="shared" si="2"/>
        <v>0.70270270109176636</v>
      </c>
      <c r="D68" s="21">
        <f t="shared" si="2"/>
        <v>0.74380165338516235</v>
      </c>
      <c r="E68" s="21">
        <f t="shared" si="2"/>
        <v>0.73333334922790527</v>
      </c>
      <c r="F68" s="21">
        <f t="shared" si="2"/>
        <v>0.80000001192092896</v>
      </c>
      <c r="G68" s="21">
        <f t="shared" si="2"/>
        <v>0.8125</v>
      </c>
      <c r="H68" s="21">
        <f t="shared" si="2"/>
        <v>0.80000001192092896</v>
      </c>
      <c r="I68" s="21">
        <f t="shared" si="2"/>
        <v>0.81481480598449707</v>
      </c>
      <c r="J68" s="21">
        <f t="shared" si="2"/>
        <v>0.56451612710952759</v>
      </c>
      <c r="K68" s="21">
        <f t="shared" si="2"/>
        <v>0.375</v>
      </c>
      <c r="L68" s="21">
        <f t="shared" si="2"/>
        <v>0.15454545617103577</v>
      </c>
      <c r="M68" s="21">
        <f t="shared" si="2"/>
        <v>0.6086956262588501</v>
      </c>
      <c r="N68" s="34">
        <f t="shared" si="2"/>
        <v>3.8484137505292892E-2</v>
      </c>
      <c r="O68" s="21">
        <f t="shared" si="2"/>
        <v>0.96296298503875732</v>
      </c>
      <c r="P68" s="2"/>
      <c r="Q68" s="2"/>
      <c r="R68" s="2"/>
      <c r="S68" s="2"/>
      <c r="T68" s="2"/>
      <c r="U68" s="2"/>
      <c r="V68" s="2"/>
      <c r="W68" s="2"/>
      <c r="X68" s="2"/>
      <c r="Y68" s="2"/>
      <c r="Z68" s="2"/>
    </row>
    <row r="69" spans="1:26" ht="12.75" customHeight="1" x14ac:dyDescent="0.25">
      <c r="A69" s="2" t="s">
        <v>104</v>
      </c>
      <c r="B69" s="19">
        <f t="shared" ref="B69:O69" si="3">MAX(B2:B64)</f>
        <v>8.2833385467529297</v>
      </c>
      <c r="C69" s="21">
        <f t="shared" si="3"/>
        <v>0.93181818723678589</v>
      </c>
      <c r="D69" s="21">
        <f t="shared" si="3"/>
        <v>0.96551722288131714</v>
      </c>
      <c r="E69" s="21">
        <f t="shared" si="3"/>
        <v>1</v>
      </c>
      <c r="F69" s="21">
        <f t="shared" si="3"/>
        <v>0.9682539701461792</v>
      </c>
      <c r="G69" s="21">
        <f t="shared" si="3"/>
        <v>0.96969699859619141</v>
      </c>
      <c r="H69" s="21">
        <f t="shared" si="3"/>
        <v>0.94871795177459717</v>
      </c>
      <c r="I69" s="21">
        <f t="shared" si="3"/>
        <v>1</v>
      </c>
      <c r="J69" s="21">
        <f t="shared" si="3"/>
        <v>0.79885059595108032</v>
      </c>
      <c r="K69" s="21">
        <f t="shared" si="3"/>
        <v>0.83333331346511841</v>
      </c>
      <c r="L69" s="21">
        <f t="shared" si="3"/>
        <v>0.602150559425354</v>
      </c>
      <c r="M69" s="21">
        <f t="shared" si="3"/>
        <v>0.88235294818878174</v>
      </c>
      <c r="N69" s="34">
        <f t="shared" si="3"/>
        <v>7.9576730728149414E-2</v>
      </c>
      <c r="O69" s="21">
        <f t="shared" si="3"/>
        <v>0.99837255477905273</v>
      </c>
      <c r="P69" s="2"/>
      <c r="Q69" s="2"/>
      <c r="R69" s="2"/>
      <c r="S69" s="2"/>
      <c r="T69" s="2"/>
      <c r="U69" s="2"/>
      <c r="V69" s="2"/>
      <c r="W69" s="2"/>
      <c r="X69" s="2"/>
      <c r="Y69" s="2"/>
      <c r="Z69" s="2"/>
    </row>
    <row r="70" spans="1:26" ht="12.75" customHeight="1" x14ac:dyDescent="0.25">
      <c r="A70" s="2" t="s">
        <v>105</v>
      </c>
      <c r="B70" s="10" t="e">
        <f t="shared" ref="B70:O70" si="4">RANK(B66,B2:B64,0)</f>
        <v>#N/A</v>
      </c>
      <c r="C70" s="10" t="e">
        <f t="shared" si="4"/>
        <v>#N/A</v>
      </c>
      <c r="D70" s="10" t="e">
        <f t="shared" si="4"/>
        <v>#N/A</v>
      </c>
      <c r="E70" s="10" t="e">
        <f t="shared" si="4"/>
        <v>#N/A</v>
      </c>
      <c r="F70" s="10" t="e">
        <f t="shared" si="4"/>
        <v>#N/A</v>
      </c>
      <c r="G70" s="10" t="e">
        <f t="shared" si="4"/>
        <v>#N/A</v>
      </c>
      <c r="H70" s="10" t="e">
        <f t="shared" si="4"/>
        <v>#N/A</v>
      </c>
      <c r="I70" s="10" t="e">
        <f t="shared" si="4"/>
        <v>#N/A</v>
      </c>
      <c r="J70" s="10" t="e">
        <f t="shared" si="4"/>
        <v>#N/A</v>
      </c>
      <c r="K70" s="10">
        <f t="shared" si="4"/>
        <v>62</v>
      </c>
      <c r="L70" s="10" t="e">
        <f t="shared" si="4"/>
        <v>#N/A</v>
      </c>
      <c r="M70" s="10" t="e">
        <f t="shared" si="4"/>
        <v>#N/A</v>
      </c>
      <c r="N70" s="10" t="e">
        <f t="shared" si="4"/>
        <v>#N/A</v>
      </c>
      <c r="O70" s="10" t="e">
        <f t="shared" si="4"/>
        <v>#N/A</v>
      </c>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Y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2" width="16.42578125" customWidth="1"/>
    <col min="3" max="3" width="21.140625" customWidth="1"/>
    <col min="4" max="4" width="21.28515625" customWidth="1"/>
    <col min="5" max="5" width="24.140625" customWidth="1"/>
    <col min="6" max="8" width="16.42578125" customWidth="1"/>
    <col min="9" max="9" width="21.28515625" customWidth="1"/>
    <col min="10" max="10" width="24.140625" customWidth="1"/>
    <col min="11" max="11" width="26.28515625" customWidth="1"/>
    <col min="12" max="12" width="18.7109375" customWidth="1"/>
    <col min="13" max="13" width="16.42578125" customWidth="1"/>
    <col min="14" max="14" width="31.140625" customWidth="1"/>
    <col min="15" max="25" width="8.7109375" customWidth="1"/>
  </cols>
  <sheetData>
    <row r="1" spans="1:25" ht="58.5" customHeight="1" x14ac:dyDescent="0.25">
      <c r="A1" s="37" t="s">
        <v>0</v>
      </c>
      <c r="B1" s="38" t="s">
        <v>9</v>
      </c>
      <c r="C1" s="37" t="s">
        <v>201</v>
      </c>
      <c r="D1" s="37" t="s">
        <v>202</v>
      </c>
      <c r="E1" s="37" t="s">
        <v>203</v>
      </c>
      <c r="F1" s="37" t="s">
        <v>204</v>
      </c>
      <c r="G1" s="37" t="s">
        <v>205</v>
      </c>
      <c r="H1" s="37" t="s">
        <v>206</v>
      </c>
      <c r="I1" s="37" t="s">
        <v>207</v>
      </c>
      <c r="J1" s="37" t="s">
        <v>208</v>
      </c>
      <c r="K1" s="37" t="s">
        <v>209</v>
      </c>
      <c r="L1" s="37" t="s">
        <v>210</v>
      </c>
      <c r="M1" s="37" t="s">
        <v>211</v>
      </c>
      <c r="N1" s="1" t="s">
        <v>13</v>
      </c>
      <c r="O1" s="2"/>
      <c r="P1" s="2"/>
      <c r="Q1" s="2"/>
      <c r="R1" s="2"/>
      <c r="S1" s="2"/>
      <c r="T1" s="2"/>
      <c r="U1" s="2"/>
      <c r="V1" s="2"/>
      <c r="W1" s="2"/>
      <c r="X1" s="2"/>
      <c r="Y1" s="2"/>
    </row>
    <row r="2" spans="1:25" ht="12.75" customHeight="1" x14ac:dyDescent="0.25">
      <c r="A2" s="2" t="s">
        <v>14</v>
      </c>
      <c r="B2" s="26">
        <v>5.7536935806274414</v>
      </c>
      <c r="C2" s="21">
        <v>0.61261260509490967</v>
      </c>
      <c r="D2" s="21">
        <v>0.35454544425010681</v>
      </c>
      <c r="E2" s="21">
        <v>0.27272728085517883</v>
      </c>
      <c r="F2" s="19">
        <v>10.329896907216495</v>
      </c>
      <c r="G2" s="19">
        <v>10</v>
      </c>
      <c r="H2" s="21">
        <v>0.56910568475723267</v>
      </c>
      <c r="I2" s="19">
        <v>54.683673858642578</v>
      </c>
      <c r="J2" s="19">
        <v>15.5</v>
      </c>
      <c r="K2" s="21">
        <v>0.47787609696388245</v>
      </c>
      <c r="L2" s="21">
        <v>0.6147540807723999</v>
      </c>
      <c r="M2" s="19">
        <v>7.024</v>
      </c>
      <c r="N2" s="2" t="s">
        <v>15</v>
      </c>
      <c r="O2" s="2"/>
      <c r="P2" s="2"/>
      <c r="Q2" s="2"/>
      <c r="R2" s="2"/>
      <c r="S2" s="2"/>
      <c r="T2" s="2"/>
      <c r="U2" s="2"/>
      <c r="V2" s="2"/>
      <c r="W2" s="2"/>
      <c r="X2" s="2"/>
      <c r="Y2" s="2"/>
    </row>
    <row r="3" spans="1:25" ht="12.75" customHeight="1" x14ac:dyDescent="0.25">
      <c r="A3" s="2" t="s">
        <v>29</v>
      </c>
      <c r="B3" s="26">
        <v>7.3853421211242676</v>
      </c>
      <c r="C3" s="21">
        <v>0.7109375</v>
      </c>
      <c r="D3" s="21">
        <v>0.5158730149269104</v>
      </c>
      <c r="E3" s="21">
        <v>0.43200001120567322</v>
      </c>
      <c r="F3" s="19">
        <v>6.1869158878504669</v>
      </c>
      <c r="G3" s="19">
        <v>7.2038834951456314</v>
      </c>
      <c r="H3" s="21">
        <v>0.65413534641265869</v>
      </c>
      <c r="I3" s="19">
        <v>76.553192138671875</v>
      </c>
      <c r="J3" s="19">
        <v>28.800000000000068</v>
      </c>
      <c r="K3" s="21">
        <v>0.68702292442321777</v>
      </c>
      <c r="L3" s="21">
        <v>0.69172930717468262</v>
      </c>
      <c r="M3" s="19">
        <v>6.8719999999999866</v>
      </c>
      <c r="N3" s="2" t="s">
        <v>24</v>
      </c>
      <c r="O3" s="2"/>
      <c r="P3" s="2"/>
      <c r="Q3" s="2"/>
      <c r="R3" s="2"/>
      <c r="S3" s="2"/>
      <c r="T3" s="2"/>
      <c r="U3" s="2"/>
      <c r="V3" s="2"/>
      <c r="W3" s="2"/>
      <c r="X3" s="2"/>
      <c r="Y3" s="2"/>
    </row>
    <row r="4" spans="1:25" ht="12.75" customHeight="1" x14ac:dyDescent="0.25">
      <c r="A4" s="2" t="s">
        <v>17</v>
      </c>
      <c r="B4" s="26">
        <v>7.2307357788085938</v>
      </c>
      <c r="C4" s="21">
        <v>0.65891474485397339</v>
      </c>
      <c r="D4" s="21">
        <v>0.57364338636398315</v>
      </c>
      <c r="E4" s="21">
        <v>0.39370077848434448</v>
      </c>
      <c r="F4" s="19">
        <v>7.908163265306122</v>
      </c>
      <c r="G4" s="19">
        <v>10.181818181818182</v>
      </c>
      <c r="H4" s="21">
        <v>0.67479676008224487</v>
      </c>
      <c r="I4" s="19">
        <v>73.666664123535156</v>
      </c>
      <c r="J4" s="19">
        <v>32.599999999999959</v>
      </c>
      <c r="K4" s="21">
        <v>0.40601503849029541</v>
      </c>
      <c r="L4" s="21">
        <v>0.71544712781906128</v>
      </c>
      <c r="M4" s="19">
        <v>6.8619999999999903</v>
      </c>
      <c r="N4" s="2" t="s">
        <v>18</v>
      </c>
      <c r="O4" s="2"/>
      <c r="P4" s="2"/>
      <c r="Q4" s="2"/>
      <c r="R4" s="2"/>
      <c r="S4" s="2"/>
      <c r="T4" s="2"/>
      <c r="U4" s="2"/>
      <c r="V4" s="2"/>
      <c r="W4" s="2"/>
      <c r="X4" s="2"/>
      <c r="Y4" s="2"/>
    </row>
    <row r="5" spans="1:25" ht="12.75" customHeight="1" x14ac:dyDescent="0.25">
      <c r="A5" s="2" t="s">
        <v>19</v>
      </c>
      <c r="B5" s="26">
        <v>6.4693527221679688</v>
      </c>
      <c r="C5" s="21">
        <v>0.66250002384185791</v>
      </c>
      <c r="D5" s="21">
        <v>0.44871795177459717</v>
      </c>
      <c r="E5" s="21">
        <v>0.33783784508705139</v>
      </c>
      <c r="F5" s="19">
        <v>12.055555555555555</v>
      </c>
      <c r="G5" s="19">
        <v>11.621212121212121</v>
      </c>
      <c r="H5" s="21">
        <v>0.65789473056793213</v>
      </c>
      <c r="I5" s="19">
        <v>67.830772399902344</v>
      </c>
      <c r="J5" s="19">
        <v>28</v>
      </c>
      <c r="K5" s="21">
        <v>0.77922075986862183</v>
      </c>
      <c r="L5" s="21">
        <v>0.61842107772827148</v>
      </c>
      <c r="M5" s="19">
        <v>6.4549999999999956</v>
      </c>
      <c r="N5" s="2" t="s">
        <v>18</v>
      </c>
      <c r="O5" s="2"/>
      <c r="P5" s="2"/>
      <c r="Q5" s="2"/>
      <c r="R5" s="2"/>
      <c r="S5" s="2"/>
      <c r="T5" s="2"/>
      <c r="U5" s="2"/>
      <c r="V5" s="2"/>
      <c r="W5" s="2"/>
      <c r="X5" s="2"/>
      <c r="Y5" s="2"/>
    </row>
    <row r="6" spans="1:25" ht="12.75" customHeight="1" x14ac:dyDescent="0.25">
      <c r="A6" s="2" t="s">
        <v>16</v>
      </c>
      <c r="B6" s="26">
        <v>4.8027677536010742</v>
      </c>
      <c r="C6" s="21">
        <v>0.71875</v>
      </c>
      <c r="D6" s="21">
        <v>0.65263158082962036</v>
      </c>
      <c r="E6" s="21">
        <v>0.62105262279510498</v>
      </c>
      <c r="F6" s="19">
        <v>26.814814814814813</v>
      </c>
      <c r="G6" s="19">
        <v>23.129870129870131</v>
      </c>
      <c r="H6" s="21">
        <v>0.71717172861099243</v>
      </c>
      <c r="I6" s="19">
        <v>55.643836975097656</v>
      </c>
      <c r="J6" s="19">
        <v>13.099999999999993</v>
      </c>
      <c r="K6" s="21">
        <v>0.30612245202064514</v>
      </c>
      <c r="L6" s="21">
        <v>0.75510203838348389</v>
      </c>
      <c r="M6" s="19">
        <v>6.8669999999999956</v>
      </c>
      <c r="N6" s="2" t="s">
        <v>15</v>
      </c>
      <c r="O6" s="2"/>
      <c r="P6" s="2"/>
      <c r="Q6" s="2"/>
      <c r="R6" s="2"/>
      <c r="S6" s="2"/>
      <c r="T6" s="2"/>
      <c r="U6" s="2"/>
      <c r="V6" s="2"/>
      <c r="W6" s="2"/>
      <c r="X6" s="2"/>
      <c r="Y6" s="2"/>
    </row>
    <row r="7" spans="1:25" ht="12.75" customHeight="1" x14ac:dyDescent="0.25">
      <c r="A7" s="2" t="s">
        <v>20</v>
      </c>
      <c r="B7" s="26">
        <v>7.0497126579284668</v>
      </c>
      <c r="C7" s="21">
        <v>0.45098039507865906</v>
      </c>
      <c r="D7" s="21">
        <v>0.30718955397605896</v>
      </c>
      <c r="E7" s="21">
        <v>0.28758171200752258</v>
      </c>
      <c r="F7" s="19">
        <v>4.5460992907801421</v>
      </c>
      <c r="G7" s="19">
        <v>6.0802919708029197</v>
      </c>
      <c r="H7" s="21">
        <v>0.50649350881576538</v>
      </c>
      <c r="I7" s="19">
        <v>67.816001892089844</v>
      </c>
      <c r="J7" s="19">
        <v>34.399999999999963</v>
      </c>
      <c r="K7" s="21">
        <v>0.47402596473693848</v>
      </c>
      <c r="L7" s="21">
        <v>0.54545456171035767</v>
      </c>
      <c r="M7" s="19">
        <v>7.2050000000000107</v>
      </c>
      <c r="N7" s="2" t="s">
        <v>21</v>
      </c>
      <c r="O7" s="2"/>
      <c r="P7" s="2"/>
      <c r="Q7" s="2"/>
      <c r="R7" s="2"/>
      <c r="S7" s="2"/>
      <c r="T7" s="2"/>
      <c r="U7" s="2"/>
      <c r="V7" s="2"/>
      <c r="W7" s="2"/>
      <c r="X7" s="2"/>
      <c r="Y7" s="2"/>
    </row>
    <row r="8" spans="1:25" ht="12.75" customHeight="1" x14ac:dyDescent="0.25">
      <c r="A8" s="2" t="s">
        <v>22</v>
      </c>
      <c r="B8" s="26">
        <v>5.2630805969238281</v>
      </c>
      <c r="C8" s="21">
        <v>0.81818181276321411</v>
      </c>
      <c r="D8" s="21">
        <v>0.25333333015441895</v>
      </c>
      <c r="E8" s="21">
        <v>0.19178082048892975</v>
      </c>
      <c r="F8" s="19">
        <v>7.064516129032258</v>
      </c>
      <c r="G8" s="19">
        <v>9.4</v>
      </c>
      <c r="H8" s="21">
        <v>0.35114502906799316</v>
      </c>
      <c r="I8" s="19">
        <v>55.549449920654297</v>
      </c>
      <c r="J8" s="19">
        <v>12.700000000000029</v>
      </c>
      <c r="K8" s="21">
        <v>0.54205608367919922</v>
      </c>
      <c r="L8" s="21">
        <v>0.44274809956550598</v>
      </c>
      <c r="M8" s="19">
        <v>6.6910000000000069</v>
      </c>
      <c r="N8" s="2" t="s">
        <v>15</v>
      </c>
      <c r="O8" s="2"/>
      <c r="P8" s="2"/>
      <c r="Q8" s="2"/>
      <c r="R8" s="2"/>
      <c r="S8" s="2"/>
      <c r="T8" s="2"/>
      <c r="U8" s="2"/>
      <c r="V8" s="2"/>
      <c r="W8" s="2"/>
      <c r="X8" s="2"/>
      <c r="Y8" s="2"/>
    </row>
    <row r="9" spans="1:25" ht="12.75" customHeight="1" x14ac:dyDescent="0.25">
      <c r="A9" s="2" t="s">
        <v>25</v>
      </c>
      <c r="B9" s="26">
        <v>6.6606903076171875</v>
      </c>
      <c r="C9" s="21">
        <v>0.66129034757614136</v>
      </c>
      <c r="D9" s="21">
        <v>0.51260507106781006</v>
      </c>
      <c r="E9" s="21">
        <v>0.45762711763381958</v>
      </c>
      <c r="F9" s="19">
        <v>13.275862068965518</v>
      </c>
      <c r="G9" s="19">
        <v>11.366666666666667</v>
      </c>
      <c r="H9" s="21">
        <v>0.73600000143051147</v>
      </c>
      <c r="I9" s="19">
        <v>60.201835632324219</v>
      </c>
      <c r="J9" s="19">
        <v>25.599999999999941</v>
      </c>
      <c r="K9" s="21">
        <v>0.579365074634552</v>
      </c>
      <c r="L9" s="21">
        <v>0.80158728361129761</v>
      </c>
      <c r="M9" s="19">
        <v>6.7160000000000064</v>
      </c>
      <c r="N9" s="2" t="s">
        <v>26</v>
      </c>
      <c r="O9" s="2"/>
      <c r="P9" s="2"/>
      <c r="Q9" s="2"/>
      <c r="R9" s="2"/>
      <c r="S9" s="2"/>
      <c r="T9" s="2"/>
      <c r="U9" s="2"/>
      <c r="V9" s="2"/>
      <c r="W9" s="2"/>
      <c r="X9" s="2"/>
      <c r="Y9" s="2"/>
    </row>
    <row r="10" spans="1:25" ht="12.75" customHeight="1" x14ac:dyDescent="0.25">
      <c r="A10" s="2" t="s">
        <v>23</v>
      </c>
      <c r="B10" s="26">
        <v>5.5738444328308105</v>
      </c>
      <c r="C10" s="21">
        <v>0.64166665077209473</v>
      </c>
      <c r="D10" s="21">
        <v>0.19491524994373322</v>
      </c>
      <c r="E10" s="21">
        <v>0.13445378839969635</v>
      </c>
      <c r="F10" s="19">
        <v>11.480392156862745</v>
      </c>
      <c r="G10" s="19">
        <v>12.330188679245284</v>
      </c>
      <c r="H10" s="21">
        <v>0.46629214286804199</v>
      </c>
      <c r="I10" s="19">
        <v>54.892307281494141</v>
      </c>
      <c r="J10" s="19">
        <v>23.300000000000079</v>
      </c>
      <c r="K10" s="21">
        <v>0.49324324727058411</v>
      </c>
      <c r="L10" s="21">
        <v>0.60451978445053101</v>
      </c>
      <c r="M10" s="19">
        <v>7.3200000000000021</v>
      </c>
      <c r="N10" s="2" t="s">
        <v>24</v>
      </c>
      <c r="O10" s="2"/>
      <c r="P10" s="2"/>
      <c r="Q10" s="2"/>
      <c r="R10" s="2"/>
      <c r="S10" s="2"/>
      <c r="T10" s="2"/>
      <c r="U10" s="2"/>
      <c r="V10" s="2"/>
      <c r="W10" s="2"/>
      <c r="X10" s="2"/>
      <c r="Y10" s="2"/>
    </row>
    <row r="11" spans="1:25" ht="12.75" customHeight="1" x14ac:dyDescent="0.25">
      <c r="A11" s="2" t="s">
        <v>27</v>
      </c>
      <c r="B11" s="26">
        <v>6.7210969924926758</v>
      </c>
      <c r="C11" s="21">
        <v>0.65306121110916138</v>
      </c>
      <c r="D11" s="21">
        <v>0.50515460968017578</v>
      </c>
      <c r="E11" s="21">
        <v>0.48421052098274231</v>
      </c>
      <c r="F11" s="19">
        <v>5.9880952380952381</v>
      </c>
      <c r="G11" s="19">
        <v>5.4177215189873413</v>
      </c>
      <c r="H11" s="21">
        <v>0.68316829204559326</v>
      </c>
      <c r="I11" s="19">
        <v>55.115943908691406</v>
      </c>
      <c r="J11" s="19">
        <v>20</v>
      </c>
      <c r="K11" s="21">
        <v>0.56999999284744263</v>
      </c>
      <c r="L11" s="21">
        <v>0.81000000238418579</v>
      </c>
      <c r="M11" s="19">
        <v>6.7110000000000092</v>
      </c>
      <c r="N11" s="2" t="s">
        <v>24</v>
      </c>
      <c r="O11" s="2"/>
      <c r="P11" s="2"/>
      <c r="Q11" s="2"/>
      <c r="R11" s="2"/>
      <c r="S11" s="2"/>
      <c r="T11" s="2"/>
      <c r="U11" s="2"/>
      <c r="V11" s="2"/>
      <c r="W11" s="2"/>
      <c r="X11" s="2"/>
      <c r="Y11" s="2"/>
    </row>
    <row r="12" spans="1:25" ht="12.75" customHeight="1" x14ac:dyDescent="0.25">
      <c r="A12" s="2" t="s">
        <v>28</v>
      </c>
      <c r="B12" s="26">
        <v>6.0126194953918457</v>
      </c>
      <c r="C12" s="21">
        <v>0.66666668653488159</v>
      </c>
      <c r="D12" s="21">
        <v>0.27368420362472534</v>
      </c>
      <c r="E12" s="21">
        <v>0.22340425848960876</v>
      </c>
      <c r="F12" s="19">
        <v>5.3452380952380949</v>
      </c>
      <c r="G12" s="19">
        <v>7.1888888888888891</v>
      </c>
      <c r="H12" s="21">
        <v>0.54807692766189575</v>
      </c>
      <c r="I12" s="19">
        <v>53.611763000488281</v>
      </c>
      <c r="J12" s="19">
        <v>19.5</v>
      </c>
      <c r="K12" s="21">
        <v>0.5339806079864502</v>
      </c>
      <c r="L12" s="21">
        <v>0.64705884456634521</v>
      </c>
      <c r="M12" s="19">
        <v>6.6480000000000139</v>
      </c>
      <c r="N12" s="2" t="s">
        <v>26</v>
      </c>
      <c r="O12" s="2"/>
      <c r="P12" s="2"/>
      <c r="Q12" s="2"/>
      <c r="R12" s="2"/>
      <c r="S12" s="2"/>
      <c r="T12" s="2"/>
      <c r="U12" s="2"/>
      <c r="V12" s="2"/>
      <c r="W12" s="2"/>
      <c r="X12" s="2"/>
      <c r="Y12" s="2"/>
    </row>
    <row r="13" spans="1:25" ht="12.75" customHeight="1" x14ac:dyDescent="0.25">
      <c r="A13" s="2" t="s">
        <v>30</v>
      </c>
      <c r="B13" s="26">
        <v>5.631493091583252</v>
      </c>
      <c r="C13" s="21">
        <v>0.63636362552642822</v>
      </c>
      <c r="D13" s="21">
        <v>0.29357796907424927</v>
      </c>
      <c r="E13" s="21">
        <v>0.29807692766189575</v>
      </c>
      <c r="F13" s="19">
        <v>8.1401869158878508</v>
      </c>
      <c r="G13" s="19">
        <v>9.3925233644859816</v>
      </c>
      <c r="H13" s="21">
        <v>0.59292036294937134</v>
      </c>
      <c r="I13" s="19">
        <v>54.676471710205078</v>
      </c>
      <c r="J13" s="19">
        <v>15.099999999999971</v>
      </c>
      <c r="K13" s="21">
        <v>0.56896549463272095</v>
      </c>
      <c r="L13" s="21">
        <v>0.74774771928787231</v>
      </c>
      <c r="M13" s="19">
        <v>6.4470000000000018</v>
      </c>
      <c r="N13" s="2" t="s">
        <v>15</v>
      </c>
      <c r="O13" s="2"/>
      <c r="P13" s="2"/>
      <c r="Q13" s="2"/>
      <c r="R13" s="2"/>
      <c r="S13" s="2"/>
      <c r="T13" s="2"/>
      <c r="U13" s="2"/>
      <c r="V13" s="2"/>
      <c r="W13" s="2"/>
      <c r="X13" s="2"/>
      <c r="Y13" s="2"/>
    </row>
    <row r="14" spans="1:25" ht="12.75" customHeight="1" x14ac:dyDescent="0.25">
      <c r="A14" s="2" t="s">
        <v>32</v>
      </c>
      <c r="B14" s="26">
        <v>6.9491362571716309</v>
      </c>
      <c r="C14" s="21">
        <v>0.67857140302658081</v>
      </c>
      <c r="D14" s="21">
        <v>0.47826087474822998</v>
      </c>
      <c r="E14" s="21">
        <v>0.37410071492195129</v>
      </c>
      <c r="F14" s="19">
        <v>7.0305343511450378</v>
      </c>
      <c r="G14" s="19">
        <v>6.9031007751937983</v>
      </c>
      <c r="H14" s="21">
        <v>0.66666668653488159</v>
      </c>
      <c r="I14" s="19">
        <v>64.696723937988281</v>
      </c>
      <c r="J14" s="19">
        <v>23.300000000000058</v>
      </c>
      <c r="K14" s="21">
        <v>0.53793102502822876</v>
      </c>
      <c r="L14" s="21">
        <v>0.78014183044433594</v>
      </c>
      <c r="M14" s="19">
        <v>6.7469999999999839</v>
      </c>
      <c r="N14" s="2" t="s">
        <v>15</v>
      </c>
      <c r="O14" s="2"/>
      <c r="P14" s="2"/>
      <c r="Q14" s="2"/>
      <c r="R14" s="2"/>
      <c r="S14" s="2"/>
      <c r="T14" s="2"/>
      <c r="U14" s="2"/>
      <c r="V14" s="2"/>
      <c r="W14" s="2"/>
      <c r="X14" s="2"/>
      <c r="Y14" s="2"/>
    </row>
    <row r="15" spans="1:25" ht="12.75" customHeight="1" x14ac:dyDescent="0.25">
      <c r="A15" s="2" t="s">
        <v>31</v>
      </c>
      <c r="B15" s="26">
        <v>5.6588101387023926</v>
      </c>
      <c r="C15" s="21">
        <v>0.50526314973831177</v>
      </c>
      <c r="D15" s="21">
        <v>0.25806450843811035</v>
      </c>
      <c r="E15" s="21">
        <v>0.28571429848670959</v>
      </c>
      <c r="F15" s="19">
        <v>7.802083333333333</v>
      </c>
      <c r="G15" s="19">
        <v>8.6770833333333339</v>
      </c>
      <c r="H15" s="21">
        <v>0.52475249767303467</v>
      </c>
      <c r="I15" s="19">
        <v>47.433734893798828</v>
      </c>
      <c r="J15" s="19">
        <v>25.900000000000052</v>
      </c>
      <c r="K15" s="21">
        <v>0.42990654706954956</v>
      </c>
      <c r="L15" s="21">
        <v>0.61386138200759888</v>
      </c>
      <c r="M15" s="19">
        <v>6.149999999999987</v>
      </c>
      <c r="N15" s="2" t="s">
        <v>18</v>
      </c>
      <c r="O15" s="2"/>
      <c r="P15" s="2"/>
      <c r="Q15" s="2"/>
      <c r="R15" s="2"/>
      <c r="S15" s="2"/>
      <c r="T15" s="2"/>
      <c r="U15" s="2"/>
      <c r="V15" s="2"/>
      <c r="W15" s="2"/>
      <c r="X15" s="2"/>
      <c r="Y15" s="2"/>
    </row>
    <row r="16" spans="1:25" ht="12.75" customHeight="1" x14ac:dyDescent="0.25">
      <c r="A16" s="2" t="s">
        <v>33</v>
      </c>
      <c r="B16" s="26">
        <v>7.1011257171630859</v>
      </c>
      <c r="C16" s="21">
        <v>0.55974841117858887</v>
      </c>
      <c r="D16" s="21">
        <v>0.24840764701366425</v>
      </c>
      <c r="E16" s="21">
        <v>0.22580644488334656</v>
      </c>
      <c r="F16" s="19">
        <v>10.228346456692913</v>
      </c>
      <c r="G16" s="19">
        <v>11.194244604316546</v>
      </c>
      <c r="H16" s="21">
        <v>0.61581921577453613</v>
      </c>
      <c r="I16" s="19">
        <v>56.347827911376953</v>
      </c>
      <c r="J16" s="19">
        <v>49.699999999999967</v>
      </c>
      <c r="K16" s="21">
        <v>0.4464285671710968</v>
      </c>
      <c r="L16" s="21">
        <v>0.7415730357170105</v>
      </c>
      <c r="M16" s="19">
        <v>6.5039999999999978</v>
      </c>
      <c r="N16" s="2" t="s">
        <v>26</v>
      </c>
      <c r="O16" s="2"/>
      <c r="P16" s="2"/>
      <c r="Q16" s="2"/>
      <c r="R16" s="2"/>
      <c r="S16" s="2"/>
      <c r="T16" s="2"/>
      <c r="U16" s="2"/>
      <c r="V16" s="2"/>
      <c r="W16" s="2"/>
      <c r="X16" s="2"/>
      <c r="Y16" s="2"/>
    </row>
    <row r="17" spans="1:25" ht="12.75" customHeight="1" x14ac:dyDescent="0.25">
      <c r="A17" s="2" t="s">
        <v>34</v>
      </c>
      <c r="B17" s="26">
        <v>5.8594789505004883</v>
      </c>
      <c r="C17" s="21">
        <v>0.52857142686843872</v>
      </c>
      <c r="D17" s="21">
        <v>0.37142857909202576</v>
      </c>
      <c r="E17" s="21">
        <v>0.326241135597229</v>
      </c>
      <c r="F17" s="19">
        <v>9.89051094890511</v>
      </c>
      <c r="G17" s="19">
        <v>10.086956521739131</v>
      </c>
      <c r="H17" s="21">
        <v>0.60402685403823853</v>
      </c>
      <c r="I17" s="19">
        <v>62.234848022460938</v>
      </c>
      <c r="J17" s="19">
        <v>18.300000000000029</v>
      </c>
      <c r="K17" s="21">
        <v>0.51020407676696777</v>
      </c>
      <c r="L17" s="21">
        <v>0.67114096879959106</v>
      </c>
      <c r="M17" s="19">
        <v>6.193999999999984</v>
      </c>
      <c r="N17" s="2" t="s">
        <v>35</v>
      </c>
      <c r="O17" s="2"/>
      <c r="P17" s="2"/>
      <c r="Q17" s="2"/>
      <c r="R17" s="2"/>
      <c r="S17" s="2"/>
      <c r="T17" s="2"/>
      <c r="U17" s="2"/>
      <c r="V17" s="2"/>
      <c r="W17" s="2"/>
      <c r="X17" s="2"/>
      <c r="Y17" s="2"/>
    </row>
    <row r="18" spans="1:25" ht="12.75" customHeight="1" x14ac:dyDescent="0.25">
      <c r="A18" s="2" t="s">
        <v>36</v>
      </c>
      <c r="B18" s="26">
        <v>6.145866870880127</v>
      </c>
      <c r="C18" s="21">
        <v>0.60396039485931396</v>
      </c>
      <c r="D18" s="21">
        <v>0.44329896569252014</v>
      </c>
      <c r="E18" s="21">
        <v>0.4375</v>
      </c>
      <c r="F18" s="19">
        <v>5.5473684210526315</v>
      </c>
      <c r="G18" s="19">
        <v>5.7065217391304346</v>
      </c>
      <c r="H18" s="21">
        <v>0.60824739933013916</v>
      </c>
      <c r="I18" s="19">
        <v>62.215908050537109</v>
      </c>
      <c r="J18" s="19">
        <v>16.700000000000031</v>
      </c>
      <c r="K18" s="21">
        <v>0.62745100259780884</v>
      </c>
      <c r="L18" s="21">
        <v>0.68041235208511353</v>
      </c>
      <c r="M18" s="19">
        <v>6.250999999999987</v>
      </c>
      <c r="N18" s="2" t="s">
        <v>35</v>
      </c>
      <c r="O18" s="2"/>
      <c r="P18" s="2"/>
      <c r="Q18" s="2"/>
      <c r="R18" s="2"/>
      <c r="S18" s="2"/>
      <c r="T18" s="2"/>
      <c r="U18" s="2"/>
      <c r="V18" s="2"/>
      <c r="W18" s="2"/>
      <c r="X18" s="2"/>
      <c r="Y18" s="2"/>
    </row>
    <row r="19" spans="1:25" ht="12.75" customHeight="1" x14ac:dyDescent="0.25">
      <c r="A19" s="2" t="s">
        <v>37</v>
      </c>
      <c r="B19" s="26">
        <v>6.1908321380615234</v>
      </c>
      <c r="C19" s="21">
        <v>0.5859375</v>
      </c>
      <c r="D19" s="21">
        <v>0.26984128355979919</v>
      </c>
      <c r="E19" s="21">
        <v>0.29268291592597961</v>
      </c>
      <c r="F19" s="19">
        <v>6.384615384615385</v>
      </c>
      <c r="G19" s="19">
        <v>5.7711864406779663</v>
      </c>
      <c r="H19" s="21">
        <v>0.6111111044883728</v>
      </c>
      <c r="I19" s="19">
        <v>64.491073608398438</v>
      </c>
      <c r="J19" s="19">
        <v>18.199999999999996</v>
      </c>
      <c r="K19" s="21">
        <v>0.52671754360198975</v>
      </c>
      <c r="L19" s="21">
        <v>0.7109375</v>
      </c>
      <c r="M19" s="19">
        <v>6.2150000000000061</v>
      </c>
      <c r="N19" s="2" t="s">
        <v>18</v>
      </c>
      <c r="O19" s="2"/>
      <c r="P19" s="2"/>
      <c r="Q19" s="2"/>
      <c r="R19" s="2"/>
      <c r="S19" s="2"/>
      <c r="T19" s="2"/>
      <c r="U19" s="2"/>
      <c r="V19" s="2"/>
      <c r="W19" s="2"/>
      <c r="X19" s="2"/>
      <c r="Y19" s="2"/>
    </row>
    <row r="20" spans="1:25" ht="12.75" customHeight="1" x14ac:dyDescent="0.25">
      <c r="A20" s="2" t="s">
        <v>38</v>
      </c>
      <c r="B20" s="26">
        <v>6.802666187286377</v>
      </c>
      <c r="C20" s="21">
        <v>0.60126584768295288</v>
      </c>
      <c r="D20" s="21">
        <v>0.33116883039474487</v>
      </c>
      <c r="E20" s="21">
        <v>0.24836601316928864</v>
      </c>
      <c r="F20" s="19">
        <v>4.8851351351351351</v>
      </c>
      <c r="G20" s="19">
        <v>6.2949640287769784</v>
      </c>
      <c r="H20" s="21">
        <v>0.59876543283462524</v>
      </c>
      <c r="I20" s="19">
        <v>70.533332824707031</v>
      </c>
      <c r="J20" s="19">
        <v>22.800000000000065</v>
      </c>
      <c r="K20" s="21">
        <v>0.68354427814483643</v>
      </c>
      <c r="L20" s="21">
        <v>0.74534159898757935</v>
      </c>
      <c r="M20" s="19">
        <v>6.5309999999999766</v>
      </c>
      <c r="N20" s="2" t="s">
        <v>24</v>
      </c>
      <c r="O20" s="2"/>
      <c r="P20" s="2"/>
      <c r="Q20" s="2"/>
      <c r="R20" s="2"/>
      <c r="S20" s="2"/>
      <c r="T20" s="2"/>
      <c r="U20" s="2"/>
      <c r="V20" s="2"/>
      <c r="W20" s="2"/>
      <c r="X20" s="2"/>
      <c r="Y20" s="2"/>
    </row>
    <row r="21" spans="1:25" ht="12.75" customHeight="1" x14ac:dyDescent="0.25">
      <c r="A21" s="2" t="s">
        <v>39</v>
      </c>
      <c r="B21" s="26">
        <v>6.2494850158691406</v>
      </c>
      <c r="C21" s="21">
        <v>0.7321428656578064</v>
      </c>
      <c r="D21" s="21">
        <v>0.45794391632080078</v>
      </c>
      <c r="E21" s="21">
        <v>0.3644859790802002</v>
      </c>
      <c r="F21" s="19">
        <v>8.2424242424242422</v>
      </c>
      <c r="G21" s="19">
        <v>9.463917525773196</v>
      </c>
      <c r="H21" s="21">
        <v>0.63478261232376099</v>
      </c>
      <c r="I21" s="19">
        <v>59.900001525878906</v>
      </c>
      <c r="J21" s="19">
        <v>14.599999999999973</v>
      </c>
      <c r="K21" s="21">
        <v>0.68103450536727905</v>
      </c>
      <c r="L21" s="21">
        <v>0.7652173638343811</v>
      </c>
      <c r="M21" s="19">
        <v>6.697999999999988</v>
      </c>
      <c r="N21" s="2" t="s">
        <v>15</v>
      </c>
      <c r="O21" s="2"/>
      <c r="P21" s="2"/>
      <c r="Q21" s="2"/>
      <c r="R21" s="2"/>
      <c r="S21" s="2"/>
      <c r="T21" s="2"/>
      <c r="U21" s="2"/>
      <c r="V21" s="2"/>
      <c r="W21" s="2"/>
      <c r="X21" s="2"/>
      <c r="Y21" s="2"/>
    </row>
    <row r="22" spans="1:25" ht="12.75" customHeight="1" x14ac:dyDescent="0.25">
      <c r="A22" s="2" t="s">
        <v>40</v>
      </c>
      <c r="B22" s="26">
        <v>5.5557413101196289</v>
      </c>
      <c r="C22" s="21">
        <v>0.75925928354263306</v>
      </c>
      <c r="D22" s="21">
        <v>0.42990654706954956</v>
      </c>
      <c r="E22" s="21">
        <v>0.31428572535514832</v>
      </c>
      <c r="F22" s="19">
        <v>9.6206896551724146</v>
      </c>
      <c r="G22" s="19">
        <v>12.062352941176471</v>
      </c>
      <c r="H22" s="21">
        <v>0.50847458839416504</v>
      </c>
      <c r="I22" s="19">
        <v>64.348838806152344</v>
      </c>
      <c r="J22" s="19">
        <v>15.299999999999969</v>
      </c>
      <c r="K22" s="21">
        <v>0.62608695030212402</v>
      </c>
      <c r="L22" s="21">
        <v>0.60683763027191162</v>
      </c>
      <c r="M22" s="19">
        <v>6.3999999999999853</v>
      </c>
      <c r="N22" s="2" t="s">
        <v>35</v>
      </c>
      <c r="O22" s="2"/>
      <c r="P22" s="2"/>
      <c r="Q22" s="2"/>
      <c r="R22" s="2"/>
      <c r="S22" s="2"/>
      <c r="T22" s="2"/>
      <c r="U22" s="2"/>
      <c r="V22" s="2"/>
      <c r="W22" s="2"/>
      <c r="X22" s="2"/>
      <c r="Y22" s="2"/>
    </row>
    <row r="23" spans="1:25" ht="12.75" customHeight="1" x14ac:dyDescent="0.25">
      <c r="A23" s="2" t="s">
        <v>76</v>
      </c>
      <c r="B23" s="26">
        <v>7.0807075500488281</v>
      </c>
      <c r="C23" s="21">
        <v>0.5972973108291626</v>
      </c>
      <c r="D23" s="21">
        <v>0.47696477174758911</v>
      </c>
      <c r="E23" s="21">
        <v>0.32328766584396362</v>
      </c>
      <c r="F23" s="19">
        <v>11.490140845070423</v>
      </c>
      <c r="G23" s="19">
        <v>11.593055555555555</v>
      </c>
      <c r="H23" s="21">
        <v>0.70025837421417236</v>
      </c>
      <c r="I23" s="19">
        <v>65.160118103027344</v>
      </c>
      <c r="J23" s="19">
        <v>36</v>
      </c>
      <c r="K23" s="21">
        <v>0.54404145479202271</v>
      </c>
      <c r="L23" s="21">
        <v>0.72868216037750244</v>
      </c>
      <c r="M23" s="19">
        <v>6.8400000000000096</v>
      </c>
      <c r="N23" s="2" t="s">
        <v>24</v>
      </c>
      <c r="O23" s="2"/>
      <c r="P23" s="2"/>
      <c r="Q23" s="2"/>
      <c r="R23" s="2"/>
      <c r="S23" s="2"/>
      <c r="T23" s="2"/>
      <c r="U23" s="2"/>
      <c r="V23" s="2"/>
      <c r="W23" s="2"/>
      <c r="X23" s="2"/>
      <c r="Y23" s="2"/>
    </row>
    <row r="24" spans="1:25" ht="12.75" customHeight="1" x14ac:dyDescent="0.25">
      <c r="A24" s="2" t="s">
        <v>41</v>
      </c>
      <c r="B24" s="26">
        <v>6.0800371170043945</v>
      </c>
      <c r="C24" s="21">
        <v>0.60824739933013916</v>
      </c>
      <c r="D24" s="21">
        <v>0.4166666567325592</v>
      </c>
      <c r="E24" s="21">
        <v>0.31578946113586426</v>
      </c>
      <c r="F24" s="19">
        <v>6.8588235294117643</v>
      </c>
      <c r="G24" s="19">
        <v>6.5348837209302326</v>
      </c>
      <c r="H24" s="21">
        <v>0.56000000238418579</v>
      </c>
      <c r="I24" s="19">
        <v>65.387496948242188</v>
      </c>
      <c r="J24" s="19">
        <v>21</v>
      </c>
      <c r="K24" s="21">
        <v>0.61000001430511475</v>
      </c>
      <c r="L24" s="21">
        <v>0.67000001668930054</v>
      </c>
      <c r="M24" s="19">
        <v>5.8300000000000027</v>
      </c>
      <c r="N24" s="2" t="s">
        <v>18</v>
      </c>
      <c r="O24" s="2"/>
      <c r="P24" s="2"/>
      <c r="Q24" s="2"/>
      <c r="R24" s="2"/>
      <c r="S24" s="2"/>
      <c r="T24" s="2"/>
      <c r="U24" s="2"/>
      <c r="V24" s="2"/>
      <c r="W24" s="2"/>
      <c r="X24" s="2"/>
      <c r="Y24" s="2"/>
    </row>
    <row r="25" spans="1:25" ht="12.75" customHeight="1" x14ac:dyDescent="0.25">
      <c r="A25" s="2" t="s">
        <v>42</v>
      </c>
      <c r="B25" s="26">
        <v>6.2442779541015625</v>
      </c>
      <c r="C25" s="21">
        <v>0.59183675050735474</v>
      </c>
      <c r="D25" s="21">
        <v>0.19148936867713928</v>
      </c>
      <c r="E25" s="21">
        <v>0.18085105717182159</v>
      </c>
      <c r="F25" s="19">
        <v>6.25</v>
      </c>
      <c r="G25" s="19">
        <v>7.2826086956521738</v>
      </c>
      <c r="H25" s="21">
        <v>0.4553571343421936</v>
      </c>
      <c r="I25" s="19">
        <v>56.118419647216797</v>
      </c>
      <c r="J25" s="19">
        <v>29.5</v>
      </c>
      <c r="K25" s="21">
        <v>0.40909090638160706</v>
      </c>
      <c r="L25" s="21">
        <v>0.61061948537826538</v>
      </c>
      <c r="M25" s="19">
        <v>7.0560000000000116</v>
      </c>
      <c r="N25" s="2" t="s">
        <v>21</v>
      </c>
      <c r="O25" s="2"/>
      <c r="P25" s="2"/>
      <c r="Q25" s="2"/>
      <c r="R25" s="2"/>
      <c r="S25" s="2"/>
      <c r="T25" s="2"/>
      <c r="U25" s="2"/>
      <c r="V25" s="2"/>
      <c r="W25" s="2"/>
      <c r="X25" s="2"/>
      <c r="Y25" s="2"/>
    </row>
    <row r="26" spans="1:25" ht="12.75" customHeight="1" x14ac:dyDescent="0.25">
      <c r="A26" s="2" t="s">
        <v>43</v>
      </c>
      <c r="B26" s="26">
        <v>7.5412797927856445</v>
      </c>
      <c r="C26" s="21">
        <v>0.61568629741668701</v>
      </c>
      <c r="D26" s="21">
        <v>0.23320157825946808</v>
      </c>
      <c r="E26" s="21">
        <v>0.1865079402923584</v>
      </c>
      <c r="F26" s="19">
        <v>6.0812499999999998</v>
      </c>
      <c r="G26" s="19">
        <v>7.0212765957446805</v>
      </c>
      <c r="H26" s="21">
        <v>0.57680249214172363</v>
      </c>
      <c r="I26" s="19">
        <v>55.0242919921875</v>
      </c>
      <c r="J26" s="19">
        <v>50.799999999999677</v>
      </c>
      <c r="K26" s="21">
        <v>0.46453902125358582</v>
      </c>
      <c r="L26" s="21">
        <v>0.6355140209197998</v>
      </c>
      <c r="M26" s="19">
        <v>6.8270000000000275</v>
      </c>
      <c r="N26" s="2" t="s">
        <v>21</v>
      </c>
      <c r="O26" s="2"/>
      <c r="P26" s="2"/>
      <c r="Q26" s="2"/>
      <c r="R26" s="2"/>
      <c r="S26" s="2"/>
      <c r="T26" s="2"/>
      <c r="U26" s="2"/>
      <c r="V26" s="2"/>
      <c r="W26" s="2"/>
      <c r="X26" s="2"/>
      <c r="Y26" s="2"/>
    </row>
    <row r="27" spans="1:25" ht="12.75" customHeight="1" x14ac:dyDescent="0.25">
      <c r="A27" s="2" t="s">
        <v>44</v>
      </c>
      <c r="B27" s="26">
        <v>7.4498295783996582</v>
      </c>
      <c r="C27" s="21">
        <v>0.63114756345748901</v>
      </c>
      <c r="D27" s="21">
        <v>0.38524588942527771</v>
      </c>
      <c r="E27" s="21">
        <v>0.38016527891159058</v>
      </c>
      <c r="F27" s="19">
        <v>4.2053571428571432</v>
      </c>
      <c r="G27" s="19">
        <v>5.2871287128712874</v>
      </c>
      <c r="H27" s="21">
        <v>0.59504133462905884</v>
      </c>
      <c r="I27" s="19">
        <v>61.163265228271484</v>
      </c>
      <c r="J27" s="19">
        <v>31.599999999999937</v>
      </c>
      <c r="K27" s="21">
        <v>0.52380955219268799</v>
      </c>
      <c r="L27" s="21">
        <v>0.68852460384368896</v>
      </c>
      <c r="M27" s="19">
        <v>7.1380000000000097</v>
      </c>
      <c r="N27" s="2" t="s">
        <v>26</v>
      </c>
      <c r="O27" s="2"/>
      <c r="P27" s="2"/>
      <c r="Q27" s="2"/>
      <c r="R27" s="2"/>
      <c r="S27" s="2"/>
      <c r="T27" s="2"/>
      <c r="U27" s="2"/>
      <c r="V27" s="2"/>
      <c r="W27" s="2"/>
      <c r="X27" s="2"/>
      <c r="Y27" s="2"/>
    </row>
    <row r="28" spans="1:25" ht="12.75" customHeight="1" x14ac:dyDescent="0.25">
      <c r="A28" s="2" t="s">
        <v>45</v>
      </c>
      <c r="B28" s="26">
        <v>6.7823004722595215</v>
      </c>
      <c r="C28" s="21">
        <v>0.48026314377784729</v>
      </c>
      <c r="D28" s="21">
        <v>0.29251700639724731</v>
      </c>
      <c r="E28" s="21">
        <v>0.2430555522441864</v>
      </c>
      <c r="F28" s="19">
        <v>8.4827586206896548</v>
      </c>
      <c r="G28" s="19">
        <v>9.8689655172413797</v>
      </c>
      <c r="H28" s="21">
        <v>0.64779871702194214</v>
      </c>
      <c r="I28" s="19">
        <v>67.201301574707031</v>
      </c>
      <c r="J28" s="19">
        <v>29.19999999999991</v>
      </c>
      <c r="K28" s="21">
        <v>0.68944096565246582</v>
      </c>
      <c r="L28" s="21">
        <v>0.6603773832321167</v>
      </c>
      <c r="M28" s="19">
        <v>6.9550000000000063</v>
      </c>
      <c r="N28" s="2" t="s">
        <v>21</v>
      </c>
      <c r="O28" s="2"/>
      <c r="P28" s="2"/>
      <c r="Q28" s="2"/>
      <c r="R28" s="2"/>
      <c r="S28" s="2"/>
      <c r="T28" s="2"/>
      <c r="U28" s="2"/>
      <c r="V28" s="2"/>
      <c r="W28" s="2"/>
      <c r="X28" s="2"/>
      <c r="Y28" s="2"/>
    </row>
    <row r="29" spans="1:25" ht="12.75" customHeight="1" x14ac:dyDescent="0.25">
      <c r="A29" s="2" t="s">
        <v>46</v>
      </c>
      <c r="B29" s="26">
        <v>7.1989412307739258</v>
      </c>
      <c r="C29" s="21">
        <v>0.57692307233810425</v>
      </c>
      <c r="D29" s="21">
        <v>0.33116883039474487</v>
      </c>
      <c r="E29" s="21">
        <v>0.24666666984558105</v>
      </c>
      <c r="F29" s="19">
        <v>6.1217391304347828</v>
      </c>
      <c r="G29" s="19">
        <v>11.711538461538462</v>
      </c>
      <c r="H29" s="21">
        <v>0.73964494466781616</v>
      </c>
      <c r="I29" s="19">
        <v>61.517856597900391</v>
      </c>
      <c r="J29" s="19">
        <v>36.5</v>
      </c>
      <c r="K29" s="21">
        <v>0.59036141633987427</v>
      </c>
      <c r="L29" s="21">
        <v>0.82035928964614868</v>
      </c>
      <c r="M29" s="19">
        <v>7.1029999999999935</v>
      </c>
      <c r="N29" s="2" t="s">
        <v>21</v>
      </c>
      <c r="O29" s="2"/>
      <c r="P29" s="2"/>
      <c r="Q29" s="2"/>
      <c r="R29" s="2"/>
      <c r="S29" s="2"/>
      <c r="T29" s="2"/>
      <c r="U29" s="2"/>
      <c r="V29" s="2"/>
      <c r="W29" s="2"/>
      <c r="X29" s="2"/>
      <c r="Y29" s="2"/>
    </row>
    <row r="30" spans="1:25" ht="12.75" customHeight="1" x14ac:dyDescent="0.25">
      <c r="A30" s="2" t="s">
        <v>47</v>
      </c>
      <c r="B30" s="26">
        <v>6.1230926513671875</v>
      </c>
      <c r="C30" s="21">
        <v>0.64835166931152344</v>
      </c>
      <c r="D30" s="21">
        <v>0.45054945349693298</v>
      </c>
      <c r="E30" s="21">
        <v>0.34146341681480408</v>
      </c>
      <c r="F30" s="19">
        <v>8.56</v>
      </c>
      <c r="G30" s="19">
        <v>11.602631578947367</v>
      </c>
      <c r="H30" s="21">
        <v>0.6185566782951355</v>
      </c>
      <c r="I30" s="19">
        <v>75.65753173828125</v>
      </c>
      <c r="J30" s="19">
        <v>13.700000000000024</v>
      </c>
      <c r="K30" s="21">
        <v>0.7032967209815979</v>
      </c>
      <c r="L30" s="21">
        <v>0.67708331346511841</v>
      </c>
      <c r="M30" s="19">
        <v>6.4649999999999981</v>
      </c>
      <c r="N30" s="2" t="s">
        <v>15</v>
      </c>
      <c r="O30" s="2"/>
      <c r="P30" s="2"/>
      <c r="Q30" s="2"/>
      <c r="R30" s="2"/>
      <c r="S30" s="2"/>
      <c r="T30" s="2"/>
      <c r="U30" s="2"/>
      <c r="V30" s="2"/>
      <c r="W30" s="2"/>
      <c r="X30" s="2"/>
      <c r="Y30" s="2"/>
    </row>
    <row r="31" spans="1:25" ht="12.75" customHeight="1" x14ac:dyDescent="0.25">
      <c r="A31" s="2" t="s">
        <v>48</v>
      </c>
      <c r="B31" s="26">
        <v>6.0306100845336914</v>
      </c>
      <c r="C31" s="21">
        <v>0.70652174949645996</v>
      </c>
      <c r="D31" s="21">
        <v>0.44086021184921265</v>
      </c>
      <c r="E31" s="21">
        <v>0.32222223281860352</v>
      </c>
      <c r="F31" s="19">
        <v>10.519480519480519</v>
      </c>
      <c r="G31" s="19">
        <v>11.573333333333334</v>
      </c>
      <c r="H31" s="21">
        <v>0.49000000953674316</v>
      </c>
      <c r="I31" s="19">
        <v>71.400001525878906</v>
      </c>
      <c r="J31" s="19">
        <v>23.800000000000004</v>
      </c>
      <c r="K31" s="21">
        <v>0.41237112879753113</v>
      </c>
      <c r="L31" s="21">
        <v>0.59405940771102905</v>
      </c>
      <c r="M31" s="19">
        <v>6.5650000000000137</v>
      </c>
      <c r="N31" s="2" t="s">
        <v>18</v>
      </c>
      <c r="O31" s="2"/>
      <c r="P31" s="2"/>
      <c r="Q31" s="2"/>
      <c r="R31" s="2"/>
      <c r="S31" s="2"/>
      <c r="T31" s="2"/>
      <c r="U31" s="2"/>
      <c r="V31" s="2"/>
      <c r="W31" s="2"/>
      <c r="X31" s="2"/>
      <c r="Y31" s="2"/>
    </row>
    <row r="32" spans="1:25" ht="12.75" customHeight="1" x14ac:dyDescent="0.25">
      <c r="A32" s="2" t="s">
        <v>49</v>
      </c>
      <c r="B32" s="26">
        <v>6.3604588508605957</v>
      </c>
      <c r="C32" s="21">
        <v>0.57971012592315674</v>
      </c>
      <c r="D32" s="21">
        <v>0.42647057771682739</v>
      </c>
      <c r="E32" s="21">
        <v>0.26119402050971985</v>
      </c>
      <c r="F32" s="19">
        <v>10.718181818181819</v>
      </c>
      <c r="G32" s="19">
        <v>12.373831775700934</v>
      </c>
      <c r="H32" s="21">
        <v>0.6538461446762085</v>
      </c>
      <c r="I32" s="19">
        <v>73.417388916015625</v>
      </c>
      <c r="J32" s="19">
        <v>28.199999999999928</v>
      </c>
      <c r="K32" s="21">
        <v>0.58273380994796753</v>
      </c>
      <c r="L32" s="21">
        <v>0.62790697813034058</v>
      </c>
      <c r="M32" s="19">
        <v>6.5359999999999756</v>
      </c>
      <c r="N32" s="2" t="s">
        <v>21</v>
      </c>
      <c r="O32" s="2"/>
      <c r="P32" s="2"/>
      <c r="Q32" s="2"/>
      <c r="R32" s="2"/>
      <c r="S32" s="2"/>
      <c r="T32" s="2"/>
      <c r="U32" s="2"/>
      <c r="V32" s="2"/>
      <c r="W32" s="2"/>
      <c r="X32" s="2"/>
      <c r="Y32" s="2"/>
    </row>
    <row r="33" spans="1:25" ht="12.75" customHeight="1" x14ac:dyDescent="0.25">
      <c r="A33" s="2" t="s">
        <v>50</v>
      </c>
      <c r="B33" s="26">
        <v>6.7675867080688477</v>
      </c>
      <c r="C33" s="21">
        <v>0.65853661298751831</v>
      </c>
      <c r="D33" s="21">
        <v>0.36885246634483337</v>
      </c>
      <c r="E33" s="21">
        <v>0.28688523173332214</v>
      </c>
      <c r="F33" s="19">
        <v>6.7037037037037033</v>
      </c>
      <c r="G33" s="19">
        <v>6.6382978723404253</v>
      </c>
      <c r="H33" s="21">
        <v>0.60629922151565552</v>
      </c>
      <c r="I33" s="19">
        <v>67.227851867675781</v>
      </c>
      <c r="J33" s="19">
        <v>25.30000000000005</v>
      </c>
      <c r="K33" s="21">
        <v>0.65040647983551025</v>
      </c>
      <c r="L33" s="21">
        <v>0.70866143703460693</v>
      </c>
      <c r="M33" s="19">
        <v>6.5099999999999927</v>
      </c>
      <c r="N33" s="2" t="s">
        <v>26</v>
      </c>
      <c r="O33" s="2"/>
      <c r="P33" s="2"/>
      <c r="Q33" s="2"/>
      <c r="R33" s="2"/>
      <c r="S33" s="2"/>
      <c r="T33" s="2"/>
      <c r="U33" s="2"/>
      <c r="V33" s="2"/>
      <c r="W33" s="2"/>
      <c r="X33" s="2"/>
      <c r="Y33" s="2"/>
    </row>
    <row r="34" spans="1:25" ht="12.75" customHeight="1" x14ac:dyDescent="0.25">
      <c r="A34" s="2" t="s">
        <v>51</v>
      </c>
      <c r="B34" s="26">
        <v>4.6129064559936523</v>
      </c>
      <c r="C34" s="21">
        <v>0.58928573131561279</v>
      </c>
      <c r="D34" s="21">
        <v>0.37837839126586914</v>
      </c>
      <c r="E34" s="21">
        <v>0.32432430982589722</v>
      </c>
      <c r="F34" s="19">
        <v>22.33009708737864</v>
      </c>
      <c r="G34" s="19">
        <v>18.428846153846152</v>
      </c>
      <c r="H34" s="21">
        <v>0.47899159789085388</v>
      </c>
      <c r="I34" s="19">
        <v>60.495326995849609</v>
      </c>
      <c r="J34" s="19">
        <v>16.799999999999969</v>
      </c>
      <c r="K34" s="21">
        <v>0.25862067937850952</v>
      </c>
      <c r="L34" s="21">
        <v>0.48717948794364929</v>
      </c>
      <c r="M34" s="19">
        <v>6.6200000000000037</v>
      </c>
      <c r="N34" s="2" t="s">
        <v>15</v>
      </c>
      <c r="O34" s="2"/>
      <c r="P34" s="2"/>
      <c r="Q34" s="2"/>
      <c r="R34" s="2"/>
      <c r="S34" s="2"/>
      <c r="T34" s="2"/>
      <c r="U34" s="2"/>
      <c r="V34" s="2"/>
      <c r="W34" s="2"/>
      <c r="X34" s="2"/>
      <c r="Y34" s="2"/>
    </row>
    <row r="35" spans="1:25" ht="12.75" customHeight="1" x14ac:dyDescent="0.25">
      <c r="A35" s="2" t="s">
        <v>52</v>
      </c>
      <c r="B35" s="26">
        <v>5.7595553398132324</v>
      </c>
      <c r="C35" s="21">
        <v>0.72093021869659424</v>
      </c>
      <c r="D35" s="21">
        <v>0.3571428656578064</v>
      </c>
      <c r="E35" s="21">
        <v>0.2738095223903656</v>
      </c>
      <c r="F35" s="19">
        <v>6.7848101265822782</v>
      </c>
      <c r="G35" s="19">
        <v>7.4698795180722888</v>
      </c>
      <c r="H35" s="21">
        <v>0.43000000715255737</v>
      </c>
      <c r="I35" s="19">
        <v>58.193180084228516</v>
      </c>
      <c r="J35" s="19">
        <v>17.799999999999969</v>
      </c>
      <c r="K35" s="21">
        <v>0.57446807622909546</v>
      </c>
      <c r="L35" s="21">
        <v>0.56999999284744263</v>
      </c>
      <c r="M35" s="19">
        <v>6.5330000000000066</v>
      </c>
      <c r="N35" s="2" t="s">
        <v>35</v>
      </c>
      <c r="O35" s="2"/>
      <c r="P35" s="2"/>
      <c r="Q35" s="2"/>
      <c r="R35" s="2"/>
      <c r="S35" s="2"/>
      <c r="T35" s="2"/>
      <c r="U35" s="2"/>
      <c r="V35" s="2"/>
      <c r="W35" s="2"/>
      <c r="X35" s="2"/>
      <c r="Y35" s="2"/>
    </row>
    <row r="36" spans="1:25" ht="12.75" customHeight="1" x14ac:dyDescent="0.25">
      <c r="A36" s="2" t="s">
        <v>53</v>
      </c>
      <c r="B36" s="26">
        <v>5.36529541015625</v>
      </c>
      <c r="C36" s="21">
        <v>0.62857145071029663</v>
      </c>
      <c r="D36" s="21">
        <v>0.20192307233810425</v>
      </c>
      <c r="E36" s="21">
        <v>0.20388349890708923</v>
      </c>
      <c r="F36" s="19">
        <v>6.9333333333333336</v>
      </c>
      <c r="G36" s="19">
        <v>7.8351648351648349</v>
      </c>
      <c r="H36" s="21">
        <v>0.35643565654754639</v>
      </c>
      <c r="I36" s="19">
        <v>52.886363983154297</v>
      </c>
      <c r="J36" s="19">
        <v>23.800000000000004</v>
      </c>
      <c r="K36" s="21">
        <v>0.37864077091217041</v>
      </c>
      <c r="L36" s="21">
        <v>0.42574256658554077</v>
      </c>
      <c r="M36" s="19">
        <v>6.2430000000000092</v>
      </c>
      <c r="N36" s="2" t="s">
        <v>18</v>
      </c>
      <c r="O36" s="2"/>
      <c r="P36" s="2"/>
      <c r="Q36" s="2"/>
      <c r="R36" s="2"/>
      <c r="S36" s="2"/>
      <c r="T36" s="2"/>
      <c r="U36" s="2"/>
      <c r="V36" s="2"/>
      <c r="W36" s="2"/>
      <c r="X36" s="2"/>
      <c r="Y36" s="2"/>
    </row>
    <row r="37" spans="1:25" ht="12.75" customHeight="1" x14ac:dyDescent="0.25">
      <c r="A37" s="2" t="s">
        <v>56</v>
      </c>
      <c r="B37" s="26">
        <v>6.1510930061340332</v>
      </c>
      <c r="C37" s="21">
        <v>0.55882352590560913</v>
      </c>
      <c r="D37" s="21">
        <v>0.43410852551460266</v>
      </c>
      <c r="E37" s="21">
        <v>0.4365079402923584</v>
      </c>
      <c r="F37" s="19">
        <v>12.696</v>
      </c>
      <c r="G37" s="19">
        <v>11.352</v>
      </c>
      <c r="H37" s="21">
        <v>0.68115943670272827</v>
      </c>
      <c r="I37" s="19">
        <v>58</v>
      </c>
      <c r="J37" s="19">
        <v>22.69999999999995</v>
      </c>
      <c r="K37" s="21">
        <v>0.40972220897674561</v>
      </c>
      <c r="L37" s="21">
        <v>0.73913043737411499</v>
      </c>
      <c r="M37" s="19">
        <v>6.7630000000000114</v>
      </c>
      <c r="N37" s="2" t="s">
        <v>35</v>
      </c>
      <c r="O37" s="2"/>
      <c r="P37" s="2"/>
      <c r="Q37" s="2"/>
      <c r="R37" s="2"/>
      <c r="S37" s="2"/>
      <c r="T37" s="2"/>
      <c r="U37" s="2"/>
      <c r="V37" s="2"/>
      <c r="W37" s="2"/>
      <c r="X37" s="2"/>
      <c r="Y37" s="2"/>
    </row>
    <row r="38" spans="1:25" ht="12.75" customHeight="1" x14ac:dyDescent="0.25">
      <c r="A38" s="2" t="s">
        <v>54</v>
      </c>
      <c r="B38" s="26">
        <v>6.0602154731750488</v>
      </c>
      <c r="C38" s="21">
        <v>0.62096774578094482</v>
      </c>
      <c r="D38" s="21">
        <v>0.2118644118309021</v>
      </c>
      <c r="E38" s="21">
        <v>0.20338982343673706</v>
      </c>
      <c r="F38" s="19">
        <v>6.3552631578947372</v>
      </c>
      <c r="G38" s="19">
        <v>7.117647058823529</v>
      </c>
      <c r="H38" s="21">
        <v>0.45528456568717957</v>
      </c>
      <c r="I38" s="19">
        <v>54.676471710205078</v>
      </c>
      <c r="J38" s="19">
        <v>27.599999999999941</v>
      </c>
      <c r="K38" s="21">
        <v>0.453125</v>
      </c>
      <c r="L38" s="21">
        <v>0.658730149269104</v>
      </c>
      <c r="M38" s="19">
        <v>6.4249999999999865</v>
      </c>
      <c r="N38" s="2" t="s">
        <v>18</v>
      </c>
      <c r="O38" s="2"/>
      <c r="P38" s="2"/>
      <c r="Q38" s="2"/>
      <c r="R38" s="2"/>
      <c r="S38" s="2"/>
      <c r="T38" s="2"/>
      <c r="U38" s="2"/>
      <c r="V38" s="2"/>
      <c r="W38" s="2"/>
      <c r="X38" s="2"/>
      <c r="Y38" s="2"/>
    </row>
    <row r="39" spans="1:25" ht="12.75" customHeight="1" x14ac:dyDescent="0.25">
      <c r="A39" s="2" t="s">
        <v>55</v>
      </c>
      <c r="B39" s="26">
        <v>6.5943813323974609</v>
      </c>
      <c r="C39" s="21">
        <v>0.71134018898010254</v>
      </c>
      <c r="D39" s="21">
        <v>0.2947368323802948</v>
      </c>
      <c r="E39" s="21">
        <v>0.30851063132286072</v>
      </c>
      <c r="F39" s="19">
        <v>6.1538461538461542</v>
      </c>
      <c r="G39" s="19">
        <v>8.8805970149253728</v>
      </c>
      <c r="H39" s="21">
        <v>0.64077669382095337</v>
      </c>
      <c r="I39" s="19">
        <v>74.770492553710938</v>
      </c>
      <c r="J39" s="19">
        <v>22.8</v>
      </c>
      <c r="K39" s="21">
        <v>0.68627452850341797</v>
      </c>
      <c r="L39" s="21">
        <v>0.68627452850341797</v>
      </c>
      <c r="M39" s="19">
        <v>6.6230000000000073</v>
      </c>
      <c r="N39" s="2" t="s">
        <v>18</v>
      </c>
      <c r="O39" s="2"/>
      <c r="P39" s="2"/>
      <c r="Q39" s="2"/>
      <c r="R39" s="2"/>
      <c r="S39" s="2"/>
      <c r="T39" s="2"/>
      <c r="U39" s="2"/>
      <c r="V39" s="2"/>
      <c r="W39" s="2"/>
      <c r="X39" s="2"/>
      <c r="Y39" s="2"/>
    </row>
    <row r="40" spans="1:25" ht="12.75" customHeight="1" x14ac:dyDescent="0.25">
      <c r="A40" s="2" t="s">
        <v>57</v>
      </c>
      <c r="B40" s="26">
        <v>7.1237392425537109</v>
      </c>
      <c r="C40" s="21">
        <v>0.7398374080657959</v>
      </c>
      <c r="D40" s="21">
        <v>0.57723575830459595</v>
      </c>
      <c r="E40" s="21">
        <v>0.42622950673103333</v>
      </c>
      <c r="F40" s="19">
        <v>4.2037037037037033</v>
      </c>
      <c r="G40" s="19">
        <v>4.37</v>
      </c>
      <c r="H40" s="21">
        <v>0.75423729419708252</v>
      </c>
      <c r="I40" s="19">
        <v>68.597938537597656</v>
      </c>
      <c r="J40" s="19">
        <v>15.900000000000038</v>
      </c>
      <c r="K40" s="21">
        <v>0.69105690717697144</v>
      </c>
      <c r="L40" s="21">
        <v>0.81355929374694824</v>
      </c>
      <c r="M40" s="19">
        <v>6.7100000000000088</v>
      </c>
      <c r="N40" s="2" t="s">
        <v>15</v>
      </c>
      <c r="O40" s="2"/>
      <c r="P40" s="2"/>
      <c r="Q40" s="2"/>
      <c r="R40" s="2"/>
      <c r="S40" s="2"/>
      <c r="T40" s="2"/>
      <c r="U40" s="2"/>
      <c r="V40" s="2"/>
      <c r="W40" s="2"/>
      <c r="X40" s="2"/>
      <c r="Y40" s="2"/>
    </row>
    <row r="41" spans="1:25" ht="12.75" customHeight="1" x14ac:dyDescent="0.25">
      <c r="A41" s="2" t="s">
        <v>58</v>
      </c>
      <c r="B41" s="26">
        <v>6.565152645111084</v>
      </c>
      <c r="C41" s="21">
        <v>0.42741936445236206</v>
      </c>
      <c r="D41" s="21">
        <v>0.32773110270500183</v>
      </c>
      <c r="E41" s="21">
        <v>0.25619834661483765</v>
      </c>
      <c r="F41" s="19">
        <v>9.0714285714285712</v>
      </c>
      <c r="G41" s="19">
        <v>9.7478991596638647</v>
      </c>
      <c r="H41" s="21">
        <v>0.62676054239273071</v>
      </c>
      <c r="I41" s="19">
        <v>68.024192810058594</v>
      </c>
      <c r="J41" s="19">
        <v>21.699999999999957</v>
      </c>
      <c r="K41" s="21">
        <v>0.62043797969818115</v>
      </c>
      <c r="L41" s="21">
        <v>0.69285714626312256</v>
      </c>
      <c r="M41" s="19">
        <v>7.3690000000000158</v>
      </c>
      <c r="N41" s="2" t="s">
        <v>21</v>
      </c>
      <c r="O41" s="2"/>
      <c r="P41" s="2"/>
      <c r="Q41" s="2"/>
      <c r="R41" s="2"/>
      <c r="S41" s="2"/>
      <c r="T41" s="2"/>
      <c r="U41" s="2"/>
      <c r="V41" s="2"/>
      <c r="W41" s="2"/>
      <c r="X41" s="2"/>
      <c r="Y41" s="2"/>
    </row>
    <row r="42" spans="1:25" ht="12.75" customHeight="1" x14ac:dyDescent="0.25">
      <c r="A42" s="2" t="s">
        <v>59</v>
      </c>
      <c r="B42" s="26">
        <v>5.6418190002441406</v>
      </c>
      <c r="C42" s="21">
        <v>0.61165046691894531</v>
      </c>
      <c r="D42" s="21">
        <v>0.13725490868091583</v>
      </c>
      <c r="E42" s="21">
        <v>7.6923079788684845E-2</v>
      </c>
      <c r="F42" s="19">
        <v>9.6631578947368428</v>
      </c>
      <c r="G42" s="19">
        <v>9.4270833333333339</v>
      </c>
      <c r="H42" s="21">
        <v>0.35810810327529907</v>
      </c>
      <c r="I42" s="19">
        <v>58.709091186523438</v>
      </c>
      <c r="J42" s="19">
        <v>25.699999999999928</v>
      </c>
      <c r="K42" s="21">
        <v>0.341269850730896</v>
      </c>
      <c r="L42" s="21">
        <v>0.46979865431785583</v>
      </c>
      <c r="M42" s="19">
        <v>6.9589999999999756</v>
      </c>
      <c r="N42" s="2" t="s">
        <v>26</v>
      </c>
      <c r="O42" s="2"/>
      <c r="P42" s="2"/>
      <c r="Q42" s="2"/>
      <c r="R42" s="2"/>
      <c r="S42" s="2"/>
      <c r="T42" s="2"/>
      <c r="U42" s="2"/>
      <c r="V42" s="2"/>
      <c r="W42" s="2"/>
      <c r="X42" s="2"/>
      <c r="Y42" s="2"/>
    </row>
    <row r="43" spans="1:25" ht="12.75" customHeight="1" x14ac:dyDescent="0.25">
      <c r="A43" s="2" t="s">
        <v>60</v>
      </c>
      <c r="B43" s="26">
        <v>6.7634878158569336</v>
      </c>
      <c r="C43" s="21">
        <v>0.48760330677032471</v>
      </c>
      <c r="D43" s="21">
        <v>0.36752137541770935</v>
      </c>
      <c r="E43" s="21">
        <v>0.29310345649719238</v>
      </c>
      <c r="F43" s="19">
        <v>10.340425531914894</v>
      </c>
      <c r="G43" s="19">
        <v>12.534653465346535</v>
      </c>
      <c r="H43" s="21">
        <v>0.63846153020858765</v>
      </c>
      <c r="I43" s="19">
        <v>65.60638427734375</v>
      </c>
      <c r="J43" s="19">
        <v>33.599999999999966</v>
      </c>
      <c r="K43" s="21">
        <v>0.4921875</v>
      </c>
      <c r="L43" s="21">
        <v>0.69230771064758301</v>
      </c>
      <c r="M43" s="19">
        <v>7.3579999999999766</v>
      </c>
      <c r="N43" s="2" t="s">
        <v>21</v>
      </c>
      <c r="O43" s="2"/>
      <c r="P43" s="2"/>
      <c r="Q43" s="2"/>
      <c r="R43" s="2"/>
      <c r="S43" s="2"/>
      <c r="T43" s="2"/>
      <c r="U43" s="2"/>
      <c r="V43" s="2"/>
      <c r="W43" s="2"/>
      <c r="X43" s="2"/>
      <c r="Y43" s="2"/>
    </row>
    <row r="44" spans="1:25" ht="12.75" customHeight="1" x14ac:dyDescent="0.25">
      <c r="A44" s="2" t="s">
        <v>61</v>
      </c>
      <c r="B44" s="26">
        <v>6.2644171714782715</v>
      </c>
      <c r="C44" s="21">
        <v>0.72897195816040039</v>
      </c>
      <c r="D44" s="21">
        <v>0.72380954027175903</v>
      </c>
      <c r="E44" s="21">
        <v>0.49056604504585266</v>
      </c>
      <c r="F44" s="19">
        <v>12.626506024096386</v>
      </c>
      <c r="G44" s="19">
        <v>10.913333333333334</v>
      </c>
      <c r="H44" s="21">
        <v>0.85585588216781616</v>
      </c>
      <c r="I44" s="19">
        <v>61.125</v>
      </c>
      <c r="J44" s="19">
        <v>18.599999999999962</v>
      </c>
      <c r="K44" s="21">
        <v>0.2589285671710968</v>
      </c>
      <c r="L44" s="21">
        <v>0.7181817889213562</v>
      </c>
      <c r="M44" s="19">
        <v>6.2980000000000009</v>
      </c>
      <c r="N44" s="2" t="s">
        <v>26</v>
      </c>
      <c r="O44" s="2"/>
      <c r="P44" s="2"/>
      <c r="Q44" s="2"/>
      <c r="R44" s="2"/>
      <c r="S44" s="2"/>
      <c r="T44" s="2"/>
      <c r="U44" s="2"/>
      <c r="V44" s="2"/>
      <c r="W44" s="2"/>
      <c r="X44" s="2"/>
      <c r="Y44" s="2"/>
    </row>
    <row r="45" spans="1:25" ht="12.75" customHeight="1" x14ac:dyDescent="0.25">
      <c r="A45" s="2" t="s">
        <v>62</v>
      </c>
      <c r="B45" s="26">
        <v>7.4347219467163086</v>
      </c>
      <c r="C45" s="21">
        <v>0.6538461446762085</v>
      </c>
      <c r="D45" s="21">
        <v>0.56818181276321411</v>
      </c>
      <c r="E45" s="21">
        <v>0.44615384936332703</v>
      </c>
      <c r="F45" s="19">
        <v>7.6942148760330582</v>
      </c>
      <c r="G45" s="19">
        <v>9.8165137614678901</v>
      </c>
      <c r="H45" s="21">
        <v>0.69852942228317261</v>
      </c>
      <c r="I45" s="19">
        <v>64.868423461914063</v>
      </c>
      <c r="J45" s="19">
        <v>34.1</v>
      </c>
      <c r="K45" s="21">
        <v>0.51470589637756348</v>
      </c>
      <c r="L45" s="21">
        <v>0.77205884456634521</v>
      </c>
      <c r="M45" s="19">
        <v>7.0879999999999876</v>
      </c>
      <c r="N45" s="2" t="s">
        <v>18</v>
      </c>
      <c r="O45" s="2"/>
      <c r="P45" s="2"/>
      <c r="Q45" s="2"/>
      <c r="R45" s="2"/>
      <c r="S45" s="2"/>
      <c r="T45" s="2"/>
      <c r="U45" s="2"/>
      <c r="V45" s="2"/>
      <c r="W45" s="2"/>
      <c r="X45" s="2"/>
      <c r="Y45" s="2"/>
    </row>
    <row r="46" spans="1:25" ht="12.75" customHeight="1" x14ac:dyDescent="0.25">
      <c r="A46" s="2" t="s">
        <v>63</v>
      </c>
      <c r="B46" s="26">
        <v>6.905207633972168</v>
      </c>
      <c r="C46" s="21">
        <v>0.64705884456634521</v>
      </c>
      <c r="D46" s="21">
        <v>0.5</v>
      </c>
      <c r="E46" s="21">
        <v>0.4285714328289032</v>
      </c>
      <c r="F46" s="19">
        <v>5.3563218390804597</v>
      </c>
      <c r="G46" s="19">
        <v>5.0952380952380949</v>
      </c>
      <c r="H46" s="21">
        <v>0.60396039485931396</v>
      </c>
      <c r="I46" s="19">
        <v>61.452381134033203</v>
      </c>
      <c r="J46" s="19">
        <v>23.099999999999955</v>
      </c>
      <c r="K46" s="21">
        <v>0.61904764175415039</v>
      </c>
      <c r="L46" s="21">
        <v>0.66990292072296143</v>
      </c>
      <c r="M46" s="19">
        <v>6.399</v>
      </c>
      <c r="N46" s="2" t="s">
        <v>26</v>
      </c>
      <c r="O46" s="2"/>
      <c r="P46" s="2"/>
      <c r="Q46" s="2"/>
      <c r="R46" s="2"/>
      <c r="S46" s="2"/>
      <c r="T46" s="2"/>
      <c r="U46" s="2"/>
      <c r="V46" s="2"/>
      <c r="W46" s="2"/>
      <c r="X46" s="2"/>
      <c r="Y46" s="2"/>
    </row>
    <row r="47" spans="1:25" ht="12.75" customHeight="1" x14ac:dyDescent="0.25">
      <c r="A47" s="2" t="s">
        <v>64</v>
      </c>
      <c r="B47" s="26">
        <v>5.5621800422668457</v>
      </c>
      <c r="C47" s="21">
        <v>0.54320985078811646</v>
      </c>
      <c r="D47" s="21">
        <v>0.15000000596046448</v>
      </c>
      <c r="E47" s="21">
        <v>0.21052631735801697</v>
      </c>
      <c r="F47" s="19">
        <v>9.3289473684210531</v>
      </c>
      <c r="G47" s="19">
        <v>9.9041095890410951</v>
      </c>
      <c r="H47" s="21">
        <v>0.3611111044883728</v>
      </c>
      <c r="I47" s="19">
        <v>56.658535003662109</v>
      </c>
      <c r="J47" s="19">
        <v>27.699999999999957</v>
      </c>
      <c r="K47" s="21">
        <v>0.40000000596046448</v>
      </c>
      <c r="L47" s="21">
        <v>0.45370370149612427</v>
      </c>
      <c r="M47" s="19">
        <v>6.6689999999999907</v>
      </c>
      <c r="N47" s="2" t="s">
        <v>26</v>
      </c>
      <c r="O47" s="2"/>
      <c r="P47" s="2"/>
      <c r="Q47" s="2"/>
      <c r="R47" s="2"/>
      <c r="S47" s="2"/>
      <c r="T47" s="2"/>
      <c r="U47" s="2"/>
      <c r="V47" s="2"/>
      <c r="W47" s="2"/>
      <c r="X47" s="2"/>
      <c r="Y47" s="2"/>
    </row>
    <row r="48" spans="1:25" ht="12.75" customHeight="1" x14ac:dyDescent="0.25">
      <c r="A48" s="2" t="s">
        <v>65</v>
      </c>
      <c r="B48" s="26">
        <v>6.3928918838500977</v>
      </c>
      <c r="C48" s="21">
        <v>0.55384618043899536</v>
      </c>
      <c r="D48" s="21">
        <v>0.4848484992980957</v>
      </c>
      <c r="E48" s="21">
        <v>0.31007751822471619</v>
      </c>
      <c r="F48" s="19">
        <v>11.584</v>
      </c>
      <c r="G48" s="19">
        <v>11.761538461538462</v>
      </c>
      <c r="H48" s="21">
        <v>0.6453900933265686</v>
      </c>
      <c r="I48" s="19">
        <v>64.366409301757813</v>
      </c>
      <c r="J48" s="19">
        <v>27.5</v>
      </c>
      <c r="K48" s="21">
        <v>0.56834530830383301</v>
      </c>
      <c r="L48" s="21">
        <v>0.68794327974319458</v>
      </c>
      <c r="M48" s="19">
        <v>6.3920000000000217</v>
      </c>
      <c r="N48" s="2" t="s">
        <v>26</v>
      </c>
      <c r="O48" s="2"/>
      <c r="P48" s="2"/>
      <c r="Q48" s="2"/>
      <c r="R48" s="2"/>
      <c r="S48" s="2"/>
      <c r="T48" s="2"/>
      <c r="U48" s="2"/>
      <c r="V48" s="2"/>
      <c r="W48" s="2"/>
      <c r="X48" s="2"/>
      <c r="Y48" s="2"/>
    </row>
    <row r="49" spans="1:25" ht="12.75" customHeight="1" x14ac:dyDescent="0.25">
      <c r="A49" s="2" t="s">
        <v>66</v>
      </c>
      <c r="B49" s="26">
        <v>6.448173999786377</v>
      </c>
      <c r="C49" s="21">
        <v>0.54700857400894165</v>
      </c>
      <c r="D49" s="21">
        <v>0.46017700433731079</v>
      </c>
      <c r="E49" s="21">
        <v>0.3928571343421936</v>
      </c>
      <c r="F49" s="19">
        <v>8.768518518518519</v>
      </c>
      <c r="G49" s="19">
        <v>8.0740740740740744</v>
      </c>
      <c r="H49" s="21">
        <v>0.64102566242218018</v>
      </c>
      <c r="I49" s="19">
        <v>60.452831268310547</v>
      </c>
      <c r="J49" s="19">
        <v>26.099999999999948</v>
      </c>
      <c r="K49" s="21">
        <v>0.52542370557785034</v>
      </c>
      <c r="L49" s="21">
        <v>0.70085471868515015</v>
      </c>
      <c r="M49" s="19">
        <v>6.4529999999999843</v>
      </c>
      <c r="N49" s="2" t="s">
        <v>26</v>
      </c>
      <c r="O49" s="2"/>
      <c r="P49" s="2"/>
      <c r="Q49" s="2"/>
      <c r="R49" s="2"/>
      <c r="S49" s="2"/>
      <c r="T49" s="2"/>
      <c r="U49" s="2"/>
      <c r="V49" s="2"/>
      <c r="W49" s="2"/>
      <c r="X49" s="2"/>
      <c r="Y49" s="2"/>
    </row>
    <row r="50" spans="1:25" ht="12.75" customHeight="1" x14ac:dyDescent="0.25">
      <c r="A50" s="2" t="s">
        <v>67</v>
      </c>
      <c r="B50" s="26">
        <v>7.8579044342041016</v>
      </c>
      <c r="C50" s="21">
        <v>0.62130177021026611</v>
      </c>
      <c r="D50" s="21">
        <v>0.4166666567325592</v>
      </c>
      <c r="E50" s="21">
        <v>0.35151514410972595</v>
      </c>
      <c r="F50" s="19">
        <v>6.8881578947368425</v>
      </c>
      <c r="G50" s="19">
        <v>6.7671232876712333</v>
      </c>
      <c r="H50" s="21">
        <v>0.7298850417137146</v>
      </c>
      <c r="I50" s="19">
        <v>72.734695434570313</v>
      </c>
      <c r="J50" s="19">
        <v>41.899999999999878</v>
      </c>
      <c r="K50" s="21">
        <v>0.57142859697341919</v>
      </c>
      <c r="L50" s="21">
        <v>0.78362572193145752</v>
      </c>
      <c r="M50" s="19">
        <v>6.6690000000000014</v>
      </c>
      <c r="N50" s="2" t="s">
        <v>21</v>
      </c>
      <c r="O50" s="2"/>
      <c r="P50" s="2"/>
      <c r="Q50" s="2"/>
      <c r="R50" s="2"/>
      <c r="S50" s="2"/>
      <c r="T50" s="2"/>
      <c r="U50" s="2"/>
      <c r="V50" s="2"/>
      <c r="W50" s="2"/>
      <c r="X50" s="2"/>
      <c r="Y50" s="2"/>
    </row>
    <row r="51" spans="1:25" ht="12.75" customHeight="1" x14ac:dyDescent="0.25">
      <c r="A51" s="2" t="s">
        <v>68</v>
      </c>
      <c r="B51" s="26">
        <v>5.8255796432495117</v>
      </c>
      <c r="C51" s="21">
        <v>0.69999998807907104</v>
      </c>
      <c r="D51" s="21">
        <v>0.23943662643432617</v>
      </c>
      <c r="E51" s="21">
        <v>0.27142858505249023</v>
      </c>
      <c r="F51" s="19">
        <v>6.9152542372881358</v>
      </c>
      <c r="G51" s="19">
        <v>7.0677966101694913</v>
      </c>
      <c r="H51" s="21">
        <v>0.32692307233810425</v>
      </c>
      <c r="I51" s="19">
        <v>55.846153259277344</v>
      </c>
      <c r="J51" s="19">
        <v>28</v>
      </c>
      <c r="K51" s="21">
        <v>0.34883719682693481</v>
      </c>
      <c r="L51" s="21">
        <v>0.4711538553237915</v>
      </c>
      <c r="M51" s="19">
        <v>6.3550000000000093</v>
      </c>
      <c r="N51" s="2" t="s">
        <v>26</v>
      </c>
      <c r="O51" s="2"/>
      <c r="P51" s="2"/>
      <c r="Q51" s="2"/>
      <c r="R51" s="2"/>
      <c r="S51" s="2"/>
      <c r="T51" s="2"/>
      <c r="U51" s="2"/>
      <c r="V51" s="2"/>
      <c r="W51" s="2"/>
      <c r="X51" s="2"/>
      <c r="Y51" s="2"/>
    </row>
    <row r="52" spans="1:25" ht="12.75" customHeight="1" x14ac:dyDescent="0.25">
      <c r="A52" s="2" t="s">
        <v>69</v>
      </c>
      <c r="B52" s="26">
        <v>6.1365499496459961</v>
      </c>
      <c r="C52" s="21">
        <v>0.66666668653488159</v>
      </c>
      <c r="D52" s="21">
        <v>0.47474747896194458</v>
      </c>
      <c r="E52" s="21">
        <v>0.38144329190254211</v>
      </c>
      <c r="F52" s="19">
        <v>7.5</v>
      </c>
      <c r="G52" s="19">
        <v>12.951219512195122</v>
      </c>
      <c r="H52" s="21">
        <v>0.60784316062927246</v>
      </c>
      <c r="I52" s="19">
        <v>78.341461181640625</v>
      </c>
      <c r="J52" s="19">
        <v>12.200000000000024</v>
      </c>
      <c r="K52" s="21">
        <v>0.65686273574829102</v>
      </c>
      <c r="L52" s="21">
        <v>0.66666668653488159</v>
      </c>
      <c r="M52" s="19">
        <v>6.458000000000002</v>
      </c>
      <c r="N52" s="2" t="s">
        <v>15</v>
      </c>
      <c r="O52" s="2"/>
      <c r="P52" s="2"/>
      <c r="Q52" s="2"/>
      <c r="R52" s="2"/>
      <c r="S52" s="2"/>
      <c r="T52" s="2"/>
      <c r="U52" s="2"/>
      <c r="V52" s="2"/>
      <c r="W52" s="2"/>
      <c r="X52" s="2"/>
      <c r="Y52" s="2"/>
    </row>
    <row r="53" spans="1:25" ht="12.75" customHeight="1" x14ac:dyDescent="0.25">
      <c r="A53" s="2" t="s">
        <v>70</v>
      </c>
      <c r="B53" s="26">
        <v>6.4252910614013672</v>
      </c>
      <c r="C53" s="21">
        <v>0.73076921701431274</v>
      </c>
      <c r="D53" s="21">
        <v>0.45098039507865906</v>
      </c>
      <c r="E53" s="21">
        <v>0.40000000596046448</v>
      </c>
      <c r="F53" s="19">
        <v>8</v>
      </c>
      <c r="G53" s="19">
        <v>4.3131313131313131</v>
      </c>
      <c r="H53" s="21">
        <v>0.60747665166854858</v>
      </c>
      <c r="I53" s="19">
        <v>58.353534698486328</v>
      </c>
      <c r="J53" s="19">
        <v>19</v>
      </c>
      <c r="K53" s="21">
        <v>0.57547169923782349</v>
      </c>
      <c r="L53" s="21">
        <v>0.6822429895401001</v>
      </c>
      <c r="M53" s="19">
        <v>6.399999999999987</v>
      </c>
      <c r="N53" s="2" t="s">
        <v>18</v>
      </c>
      <c r="O53" s="2"/>
      <c r="P53" s="2"/>
      <c r="Q53" s="2"/>
      <c r="R53" s="2"/>
      <c r="S53" s="2"/>
      <c r="T53" s="2"/>
      <c r="U53" s="2"/>
      <c r="V53" s="2"/>
      <c r="W53" s="2"/>
      <c r="X53" s="2"/>
      <c r="Y53" s="2"/>
    </row>
    <row r="54" spans="1:25" ht="12.75" customHeight="1" x14ac:dyDescent="0.25">
      <c r="A54" s="2" t="s">
        <v>78</v>
      </c>
      <c r="B54" s="26">
        <v>7.2982816696166992</v>
      </c>
      <c r="C54" s="21">
        <v>0.59130436182022095</v>
      </c>
      <c r="D54" s="21">
        <v>0.46086955070495605</v>
      </c>
      <c r="E54" s="21">
        <v>0.42241379618644714</v>
      </c>
      <c r="F54" s="19">
        <v>7.8039215686274508</v>
      </c>
      <c r="G54" s="19">
        <v>9.1553398058252426</v>
      </c>
      <c r="H54" s="21">
        <v>0.71900826692581177</v>
      </c>
      <c r="I54" s="19">
        <v>66.86407470703125</v>
      </c>
      <c r="J54" s="19">
        <v>30.099999999999937</v>
      </c>
      <c r="K54" s="21">
        <v>0.63934427499771118</v>
      </c>
      <c r="L54" s="21">
        <v>0.84166663885116577</v>
      </c>
      <c r="M54" s="19">
        <v>6.7409999999999881</v>
      </c>
      <c r="N54" s="2" t="s">
        <v>26</v>
      </c>
      <c r="O54" s="2"/>
      <c r="P54" s="2"/>
      <c r="Q54" s="2"/>
      <c r="R54" s="2"/>
      <c r="S54" s="2"/>
      <c r="T54" s="2"/>
      <c r="U54" s="2"/>
      <c r="V54" s="2"/>
      <c r="W54" s="2"/>
      <c r="X54" s="2"/>
      <c r="Y54" s="2"/>
    </row>
    <row r="55" spans="1:25" ht="12.75" customHeight="1" x14ac:dyDescent="0.25">
      <c r="A55" s="2" t="s">
        <v>71</v>
      </c>
      <c r="B55" s="26">
        <v>5.9352936744689941</v>
      </c>
      <c r="C55" s="21">
        <v>0.59130436182022095</v>
      </c>
      <c r="D55" s="21">
        <v>0.32110092043876648</v>
      </c>
      <c r="E55" s="21">
        <v>0.23853211104869843</v>
      </c>
      <c r="F55" s="19">
        <v>7.8235294117647056</v>
      </c>
      <c r="G55" s="19">
        <v>7.8648648648648649</v>
      </c>
      <c r="H55" s="21">
        <v>0.7049180269241333</v>
      </c>
      <c r="I55" s="19">
        <v>52.700855255126953</v>
      </c>
      <c r="J55" s="19">
        <v>18.200000000000006</v>
      </c>
      <c r="K55" s="21">
        <v>0.55555558204650879</v>
      </c>
      <c r="L55" s="21">
        <v>0.67741936445236206</v>
      </c>
      <c r="M55" s="19">
        <v>6.5220000000000153</v>
      </c>
      <c r="N55" s="2" t="s">
        <v>24</v>
      </c>
      <c r="O55" s="2"/>
      <c r="P55" s="2"/>
      <c r="Q55" s="2"/>
      <c r="R55" s="2"/>
      <c r="S55" s="2"/>
      <c r="T55" s="2"/>
      <c r="U55" s="2"/>
      <c r="V55" s="2"/>
      <c r="W55" s="2"/>
      <c r="X55" s="2"/>
      <c r="Y55" s="2"/>
    </row>
    <row r="56" spans="1:25" ht="12.75" customHeight="1" x14ac:dyDescent="0.25">
      <c r="A56" s="2" t="s">
        <v>72</v>
      </c>
      <c r="B56" s="26">
        <v>6.4923095703125</v>
      </c>
      <c r="C56" s="21">
        <v>0.53043478727340698</v>
      </c>
      <c r="D56" s="21">
        <v>0.32173913717269897</v>
      </c>
      <c r="E56" s="21">
        <v>0.20869565010070801</v>
      </c>
      <c r="F56" s="19">
        <v>10.216981132075471</v>
      </c>
      <c r="G56" s="19">
        <v>9.2129629629629637</v>
      </c>
      <c r="H56" s="21">
        <v>0.62601625919342041</v>
      </c>
      <c r="I56" s="19">
        <v>63.439250946044922</v>
      </c>
      <c r="J56" s="19">
        <v>22.900000000000052</v>
      </c>
      <c r="K56" s="21">
        <v>0.66393440961837769</v>
      </c>
      <c r="L56" s="21">
        <v>0.67479676008224487</v>
      </c>
      <c r="M56" s="19">
        <v>6.9930000000000199</v>
      </c>
      <c r="N56" s="2" t="s">
        <v>21</v>
      </c>
      <c r="O56" s="2"/>
      <c r="P56" s="2"/>
      <c r="Q56" s="2"/>
      <c r="R56" s="2"/>
      <c r="S56" s="2"/>
      <c r="T56" s="2"/>
      <c r="U56" s="2"/>
      <c r="V56" s="2"/>
      <c r="W56" s="2"/>
      <c r="X56" s="2"/>
      <c r="Y56" s="2"/>
    </row>
    <row r="57" spans="1:25" ht="12.75" customHeight="1" x14ac:dyDescent="0.25">
      <c r="A57" s="2" t="s">
        <v>73</v>
      </c>
      <c r="B57" s="26">
        <v>6.743628978729248</v>
      </c>
      <c r="C57" s="21">
        <v>0.55752211809158325</v>
      </c>
      <c r="D57" s="21">
        <v>0.3486238420009613</v>
      </c>
      <c r="E57" s="21">
        <v>0.2222222238779068</v>
      </c>
      <c r="F57" s="19">
        <v>10.383495145631068</v>
      </c>
      <c r="G57" s="19">
        <v>10.661904761904761</v>
      </c>
      <c r="H57" s="21">
        <v>0.63793104887008667</v>
      </c>
      <c r="I57" s="19">
        <v>64.693695068359375</v>
      </c>
      <c r="J57" s="19">
        <v>36.59999999999998</v>
      </c>
      <c r="K57" s="21">
        <v>0.64999997615814209</v>
      </c>
      <c r="L57" s="21">
        <v>0.67241376638412476</v>
      </c>
      <c r="M57" s="19">
        <v>6.5430000000000055</v>
      </c>
      <c r="N57" s="2" t="s">
        <v>18</v>
      </c>
      <c r="O57" s="2"/>
      <c r="P57" s="2"/>
      <c r="Q57" s="2"/>
      <c r="R57" s="2"/>
      <c r="S57" s="2"/>
      <c r="T57" s="2"/>
      <c r="U57" s="2"/>
      <c r="V57" s="2"/>
      <c r="W57" s="2"/>
      <c r="X57" s="2"/>
      <c r="Y57" s="2"/>
    </row>
    <row r="58" spans="1:25" ht="12.75" customHeight="1" x14ac:dyDescent="0.25">
      <c r="A58" s="2" t="s">
        <v>74</v>
      </c>
      <c r="B58" s="26">
        <v>6.8719077110290527</v>
      </c>
      <c r="C58" s="21">
        <v>0.51298701763153076</v>
      </c>
      <c r="D58" s="21">
        <v>0.2074074000120163</v>
      </c>
      <c r="E58" s="21">
        <v>0.18518517911434174</v>
      </c>
      <c r="F58" s="19">
        <v>11.442953020134228</v>
      </c>
      <c r="G58" s="19">
        <v>10.646616541353383</v>
      </c>
      <c r="H58" s="21">
        <v>0.69620251655578613</v>
      </c>
      <c r="I58" s="19">
        <v>76.610740661621094</v>
      </c>
      <c r="J58" s="19">
        <v>27.599999999999966</v>
      </c>
      <c r="K58" s="21">
        <v>0.67088609933853149</v>
      </c>
      <c r="L58" s="21">
        <v>0.72955971956253052</v>
      </c>
      <c r="M58" s="19">
        <v>6.8279999999999816</v>
      </c>
      <c r="N58" s="2" t="s">
        <v>26</v>
      </c>
      <c r="O58" s="2"/>
      <c r="P58" s="2"/>
      <c r="Q58" s="2"/>
      <c r="R58" s="2"/>
      <c r="S58" s="2"/>
      <c r="T58" s="2"/>
      <c r="U58" s="2"/>
      <c r="V58" s="2"/>
      <c r="W58" s="2"/>
      <c r="X58" s="2"/>
      <c r="Y58" s="2"/>
    </row>
    <row r="59" spans="1:25" ht="12.75" customHeight="1" x14ac:dyDescent="0.25">
      <c r="A59" s="2" t="s">
        <v>75</v>
      </c>
      <c r="B59" s="26">
        <v>5.8652076721191406</v>
      </c>
      <c r="C59" s="21">
        <v>0.70930230617523193</v>
      </c>
      <c r="D59" s="21">
        <v>0.30851063132286072</v>
      </c>
      <c r="E59" s="21">
        <v>0.22580644488334656</v>
      </c>
      <c r="F59" s="19">
        <v>7.2471910112359552</v>
      </c>
      <c r="G59" s="19">
        <v>7.3658536585365857</v>
      </c>
      <c r="H59" s="21">
        <v>0.62857145071029663</v>
      </c>
      <c r="I59" s="19">
        <v>51.5</v>
      </c>
      <c r="J59" s="19">
        <v>14.200000000000028</v>
      </c>
      <c r="K59" s="21">
        <v>0.45360824465751648</v>
      </c>
      <c r="L59" s="21">
        <v>0.60377359390258789</v>
      </c>
      <c r="M59" s="19">
        <v>6.9020000000000081</v>
      </c>
      <c r="N59" s="2" t="s">
        <v>15</v>
      </c>
      <c r="O59" s="2"/>
      <c r="P59" s="2"/>
      <c r="Q59" s="2"/>
      <c r="R59" s="2"/>
      <c r="S59" s="2"/>
      <c r="T59" s="2"/>
      <c r="U59" s="2"/>
      <c r="V59" s="2"/>
      <c r="W59" s="2"/>
      <c r="X59" s="2"/>
      <c r="Y59" s="2"/>
    </row>
    <row r="60" spans="1:25" ht="12.75" customHeight="1" x14ac:dyDescent="0.25">
      <c r="A60" s="2" t="s">
        <v>77</v>
      </c>
      <c r="B60" s="26">
        <v>6.5859565734863281</v>
      </c>
      <c r="C60" s="21">
        <v>0.68478262424468994</v>
      </c>
      <c r="D60" s="21">
        <v>0.50549453496932983</v>
      </c>
      <c r="E60" s="21">
        <v>0.5</v>
      </c>
      <c r="F60" s="19">
        <v>8.4210526315789469</v>
      </c>
      <c r="G60" s="19">
        <v>7.2631578947368425</v>
      </c>
      <c r="H60" s="21">
        <v>0.7373737096786499</v>
      </c>
      <c r="I60" s="19">
        <v>57.262500762939453</v>
      </c>
      <c r="J60" s="19">
        <v>16.799999999999969</v>
      </c>
      <c r="K60" s="21">
        <v>0.58762884140014648</v>
      </c>
      <c r="L60" s="21">
        <v>0.76999998092651367</v>
      </c>
      <c r="M60" s="19">
        <v>6.541000000000011</v>
      </c>
      <c r="N60" s="2" t="s">
        <v>15</v>
      </c>
      <c r="O60" s="2"/>
      <c r="P60" s="2"/>
      <c r="Q60" s="2"/>
      <c r="R60" s="2"/>
      <c r="S60" s="2"/>
      <c r="T60" s="2"/>
      <c r="U60" s="2"/>
      <c r="V60" s="2"/>
      <c r="W60" s="2"/>
      <c r="X60" s="2"/>
      <c r="Y60" s="2"/>
    </row>
    <row r="61" spans="1:25" ht="12.75" customHeight="1" x14ac:dyDescent="0.25">
      <c r="A61" s="2" t="s">
        <v>79</v>
      </c>
      <c r="B61" s="26">
        <v>6.4321823120117188</v>
      </c>
      <c r="C61" s="21">
        <v>0.71287131309509277</v>
      </c>
      <c r="D61" s="21">
        <v>0.39603960514068604</v>
      </c>
      <c r="E61" s="21">
        <v>0.26262626051902771</v>
      </c>
      <c r="F61" s="19">
        <v>7.2048192771084336</v>
      </c>
      <c r="G61" s="19">
        <v>7.7471264367816088</v>
      </c>
      <c r="H61" s="21">
        <v>0.60204082727432251</v>
      </c>
      <c r="I61" s="19">
        <v>54.574710845947266</v>
      </c>
      <c r="J61" s="19">
        <v>21.79999999999999</v>
      </c>
      <c r="K61" s="21">
        <v>0.64705884456634521</v>
      </c>
      <c r="L61" s="21">
        <v>0.66326528787612915</v>
      </c>
      <c r="M61" s="19">
        <v>6.9339999999999993</v>
      </c>
      <c r="N61" s="2" t="s">
        <v>18</v>
      </c>
      <c r="O61" s="2"/>
      <c r="P61" s="2"/>
      <c r="Q61" s="2"/>
      <c r="R61" s="2"/>
      <c r="S61" s="2"/>
      <c r="T61" s="2"/>
      <c r="U61" s="2"/>
      <c r="V61" s="2"/>
      <c r="W61" s="2"/>
      <c r="X61" s="2"/>
      <c r="Y61" s="2"/>
    </row>
    <row r="62" spans="1:25" ht="12.75" customHeight="1" x14ac:dyDescent="0.25">
      <c r="A62" s="2" t="s">
        <v>80</v>
      </c>
      <c r="B62" s="26">
        <v>5.8002967834472656</v>
      </c>
      <c r="C62" s="21">
        <v>0.72881358861923218</v>
      </c>
      <c r="D62" s="21">
        <v>0.54310345649719238</v>
      </c>
      <c r="E62" s="21">
        <v>0.52991455793380737</v>
      </c>
      <c r="F62" s="19">
        <v>19.860869565217392</v>
      </c>
      <c r="G62" s="19">
        <v>14.822033898305085</v>
      </c>
      <c r="H62" s="21">
        <v>0.79032260179519653</v>
      </c>
      <c r="I62" s="19">
        <v>56.830509185791016</v>
      </c>
      <c r="J62" s="19">
        <v>15.900000000000038</v>
      </c>
      <c r="K62" s="21">
        <v>0.51999998092651367</v>
      </c>
      <c r="L62" s="21">
        <v>0.79838711023330688</v>
      </c>
      <c r="M62" s="19">
        <v>6.8869999999999765</v>
      </c>
      <c r="N62" s="2" t="s">
        <v>15</v>
      </c>
      <c r="O62" s="2"/>
      <c r="P62" s="2"/>
      <c r="Q62" s="2"/>
      <c r="R62" s="2"/>
      <c r="S62" s="2"/>
      <c r="T62" s="2"/>
      <c r="U62" s="2"/>
      <c r="V62" s="2"/>
      <c r="W62" s="2"/>
      <c r="X62" s="2"/>
      <c r="Y62" s="2"/>
    </row>
    <row r="63" spans="1:25" ht="12.75" customHeight="1" x14ac:dyDescent="0.25">
      <c r="A63" s="2" t="s">
        <v>81</v>
      </c>
      <c r="B63" s="26">
        <v>7.1467657089233398</v>
      </c>
      <c r="C63" s="21">
        <v>0.54716980457305908</v>
      </c>
      <c r="D63" s="21">
        <v>0.32450330257415771</v>
      </c>
      <c r="E63" s="21">
        <v>0.24675324559211731</v>
      </c>
      <c r="F63" s="19">
        <v>9.1103448275862071</v>
      </c>
      <c r="G63" s="19">
        <v>8.4605263157894743</v>
      </c>
      <c r="H63" s="21">
        <v>0.68047338724136353</v>
      </c>
      <c r="I63" s="19">
        <v>57.717948913574219</v>
      </c>
      <c r="J63" s="19">
        <v>35.800000000000111</v>
      </c>
      <c r="K63" s="21">
        <v>0.54437869787216187</v>
      </c>
      <c r="L63" s="21">
        <v>0.69590646028518677</v>
      </c>
      <c r="M63" s="19">
        <v>7.4640000000000093</v>
      </c>
      <c r="N63" s="2" t="s">
        <v>21</v>
      </c>
      <c r="O63" s="2"/>
      <c r="P63" s="2"/>
      <c r="Q63" s="2"/>
      <c r="R63" s="2"/>
      <c r="S63" s="2"/>
      <c r="T63" s="2"/>
      <c r="U63" s="2"/>
      <c r="V63" s="2"/>
      <c r="W63" s="2"/>
      <c r="X63" s="2"/>
      <c r="Y63" s="2"/>
    </row>
    <row r="64" spans="1:25" ht="12.75" customHeight="1" x14ac:dyDescent="0.25">
      <c r="A64" s="5" t="s">
        <v>82</v>
      </c>
      <c r="B64" s="27">
        <v>5.7134799957275391</v>
      </c>
      <c r="C64" s="29">
        <v>0.63106793165206909</v>
      </c>
      <c r="D64" s="29">
        <v>0.29702970385551453</v>
      </c>
      <c r="E64" s="29">
        <v>0.2199999988079071</v>
      </c>
      <c r="F64" s="28">
        <v>7.6071428571428568</v>
      </c>
      <c r="G64" s="28">
        <v>10.597560975609756</v>
      </c>
      <c r="H64" s="29">
        <v>0.49541285634040833</v>
      </c>
      <c r="I64" s="28">
        <v>54.43902587890625</v>
      </c>
      <c r="J64" s="28">
        <v>23.199999999999989</v>
      </c>
      <c r="K64" s="29">
        <v>0.53333336114883423</v>
      </c>
      <c r="L64" s="29">
        <v>0.61467891931533813</v>
      </c>
      <c r="M64" s="28">
        <v>6.514999999999989</v>
      </c>
      <c r="N64" s="5" t="s">
        <v>18</v>
      </c>
      <c r="O64" s="2"/>
      <c r="P64" s="2"/>
      <c r="Q64" s="2"/>
      <c r="R64" s="2"/>
      <c r="S64" s="2"/>
      <c r="T64" s="2"/>
      <c r="U64" s="2"/>
      <c r="V64" s="2"/>
      <c r="W64" s="2"/>
      <c r="X64" s="2"/>
      <c r="Y64" s="2"/>
    </row>
    <row r="65" spans="1:25"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row>
    <row r="66" spans="1:25" ht="12.75" customHeight="1" x14ac:dyDescent="0.25">
      <c r="A66" s="15" t="e">
        <f>#REF!</f>
        <v>#REF!</v>
      </c>
      <c r="B66" s="16">
        <f t="shared" ref="B66:M66" si="0">SUMIF($A$2:$A$64,$A$66,B2:B64)</f>
        <v>0</v>
      </c>
      <c r="C66" s="17">
        <f t="shared" si="0"/>
        <v>0</v>
      </c>
      <c r="D66" s="17">
        <f t="shared" si="0"/>
        <v>0</v>
      </c>
      <c r="E66" s="17">
        <f t="shared" si="0"/>
        <v>0</v>
      </c>
      <c r="F66" s="16">
        <f t="shared" si="0"/>
        <v>0</v>
      </c>
      <c r="G66" s="16">
        <f t="shared" si="0"/>
        <v>0</v>
      </c>
      <c r="H66" s="17">
        <f t="shared" si="0"/>
        <v>0</v>
      </c>
      <c r="I66" s="16">
        <f t="shared" si="0"/>
        <v>0</v>
      </c>
      <c r="J66" s="16">
        <f t="shared" si="0"/>
        <v>0</v>
      </c>
      <c r="K66" s="17">
        <f t="shared" si="0"/>
        <v>0</v>
      </c>
      <c r="L66" s="17">
        <f t="shared" si="0"/>
        <v>0</v>
      </c>
      <c r="M66" s="16">
        <f t="shared" si="0"/>
        <v>0</v>
      </c>
      <c r="N66" s="2"/>
      <c r="O66" s="2"/>
      <c r="P66" s="2"/>
      <c r="Q66" s="2"/>
      <c r="R66" s="2"/>
      <c r="S66" s="2"/>
      <c r="T66" s="2"/>
      <c r="U66" s="2"/>
      <c r="V66" s="2"/>
      <c r="W66" s="2"/>
      <c r="X66" s="2"/>
      <c r="Y66" s="2"/>
    </row>
    <row r="67" spans="1:25" ht="12.75" customHeight="1" x14ac:dyDescent="0.25">
      <c r="A67" s="2" t="s">
        <v>102</v>
      </c>
      <c r="B67" s="19">
        <f t="shared" ref="B67:M67" si="1">MIN(B2:B64)</f>
        <v>4.6129064559936523</v>
      </c>
      <c r="C67" s="21">
        <f t="shared" si="1"/>
        <v>0.42741936445236206</v>
      </c>
      <c r="D67" s="21">
        <f t="shared" si="1"/>
        <v>0.13725490868091583</v>
      </c>
      <c r="E67" s="21">
        <f t="shared" si="1"/>
        <v>7.6923079788684845E-2</v>
      </c>
      <c r="F67" s="19">
        <f t="shared" si="1"/>
        <v>4.2037037037037033</v>
      </c>
      <c r="G67" s="19">
        <f t="shared" si="1"/>
        <v>4.3131313131313131</v>
      </c>
      <c r="H67" s="21">
        <f t="shared" si="1"/>
        <v>0.32692307233810425</v>
      </c>
      <c r="I67" s="19">
        <f t="shared" si="1"/>
        <v>47.433734893798828</v>
      </c>
      <c r="J67" s="19">
        <f t="shared" si="1"/>
        <v>12.200000000000024</v>
      </c>
      <c r="K67" s="21">
        <f t="shared" si="1"/>
        <v>0.25862067937850952</v>
      </c>
      <c r="L67" s="21">
        <f t="shared" si="1"/>
        <v>0.42574256658554077</v>
      </c>
      <c r="M67" s="19">
        <f t="shared" si="1"/>
        <v>5.8300000000000027</v>
      </c>
      <c r="N67" s="2"/>
      <c r="O67" s="2"/>
      <c r="P67" s="2"/>
      <c r="Q67" s="2"/>
      <c r="R67" s="2"/>
      <c r="S67" s="2"/>
      <c r="T67" s="2"/>
      <c r="U67" s="2"/>
      <c r="V67" s="2"/>
      <c r="W67" s="2"/>
      <c r="X67" s="2"/>
      <c r="Y67" s="2"/>
    </row>
    <row r="68" spans="1:25" ht="12.75" customHeight="1" x14ac:dyDescent="0.25">
      <c r="A68" s="2" t="s">
        <v>103</v>
      </c>
      <c r="B68" s="19">
        <f t="shared" ref="B68:M68" si="2">MEDIAN(B2:B64)</f>
        <v>6.3928918838500977</v>
      </c>
      <c r="C68" s="21">
        <f t="shared" si="2"/>
        <v>0.62857145071029663</v>
      </c>
      <c r="D68" s="21">
        <f t="shared" si="2"/>
        <v>0.37142857909202576</v>
      </c>
      <c r="E68" s="21">
        <f t="shared" si="2"/>
        <v>0.29807692766189575</v>
      </c>
      <c r="F68" s="19">
        <f t="shared" si="2"/>
        <v>7.908163265306122</v>
      </c>
      <c r="G68" s="19">
        <f t="shared" si="2"/>
        <v>9.3925233644859816</v>
      </c>
      <c r="H68" s="21">
        <f t="shared" si="2"/>
        <v>0.6185566782951355</v>
      </c>
      <c r="I68" s="19">
        <f t="shared" si="2"/>
        <v>61.163265228271484</v>
      </c>
      <c r="J68" s="19">
        <f t="shared" si="2"/>
        <v>23.300000000000058</v>
      </c>
      <c r="K68" s="21">
        <f t="shared" si="2"/>
        <v>0.54437869787216187</v>
      </c>
      <c r="L68" s="21">
        <f t="shared" si="2"/>
        <v>0.68041235208511353</v>
      </c>
      <c r="M68" s="19">
        <f t="shared" si="2"/>
        <v>6.6689999999999907</v>
      </c>
      <c r="N68" s="2"/>
      <c r="O68" s="2"/>
      <c r="P68" s="2"/>
      <c r="Q68" s="2"/>
      <c r="R68" s="2"/>
      <c r="S68" s="2"/>
      <c r="T68" s="2"/>
      <c r="U68" s="2"/>
      <c r="V68" s="2"/>
      <c r="W68" s="2"/>
      <c r="X68" s="2"/>
      <c r="Y68" s="2"/>
    </row>
    <row r="69" spans="1:25" ht="12.75" customHeight="1" x14ac:dyDescent="0.25">
      <c r="A69" s="2" t="s">
        <v>104</v>
      </c>
      <c r="B69" s="19">
        <f t="shared" ref="B69:M69" si="3">MAX(B2:B64)</f>
        <v>7.8579044342041016</v>
      </c>
      <c r="C69" s="21">
        <f t="shared" si="3"/>
        <v>0.81818181276321411</v>
      </c>
      <c r="D69" s="21">
        <f t="shared" si="3"/>
        <v>0.72380954027175903</v>
      </c>
      <c r="E69" s="21">
        <f t="shared" si="3"/>
        <v>0.62105262279510498</v>
      </c>
      <c r="F69" s="19">
        <f t="shared" si="3"/>
        <v>26.814814814814813</v>
      </c>
      <c r="G69" s="19">
        <f t="shared" si="3"/>
        <v>23.129870129870131</v>
      </c>
      <c r="H69" s="21">
        <f t="shared" si="3"/>
        <v>0.85585588216781616</v>
      </c>
      <c r="I69" s="19">
        <f t="shared" si="3"/>
        <v>78.341461181640625</v>
      </c>
      <c r="J69" s="19">
        <f t="shared" si="3"/>
        <v>50.799999999999677</v>
      </c>
      <c r="K69" s="21">
        <f t="shared" si="3"/>
        <v>0.77922075986862183</v>
      </c>
      <c r="L69" s="21">
        <f t="shared" si="3"/>
        <v>0.84166663885116577</v>
      </c>
      <c r="M69" s="19">
        <f t="shared" si="3"/>
        <v>7.4640000000000093</v>
      </c>
      <c r="N69" s="2"/>
      <c r="O69" s="2"/>
      <c r="P69" s="2"/>
      <c r="Q69" s="2"/>
      <c r="R69" s="2"/>
      <c r="S69" s="2"/>
      <c r="T69" s="2"/>
      <c r="U69" s="2"/>
      <c r="V69" s="2"/>
      <c r="W69" s="2"/>
      <c r="X69" s="2"/>
      <c r="Y69" s="2"/>
    </row>
    <row r="70" spans="1:25" ht="12.75" customHeight="1" x14ac:dyDescent="0.25">
      <c r="A70" s="2" t="s">
        <v>105</v>
      </c>
      <c r="B70" s="10" t="e">
        <f t="shared" ref="B70:E70" si="4">RANK(B66,B2:B64,0)</f>
        <v>#N/A</v>
      </c>
      <c r="C70" s="10" t="e">
        <f t="shared" si="4"/>
        <v>#N/A</v>
      </c>
      <c r="D70" s="10" t="e">
        <f t="shared" si="4"/>
        <v>#N/A</v>
      </c>
      <c r="E70" s="10" t="e">
        <f t="shared" si="4"/>
        <v>#N/A</v>
      </c>
      <c r="F70" s="10" t="e">
        <f t="shared" ref="F70:G70" si="5">RANK(F66,F2:F64,1)</f>
        <v>#N/A</v>
      </c>
      <c r="G70" s="10" t="e">
        <f t="shared" si="5"/>
        <v>#N/A</v>
      </c>
      <c r="H70" s="10" t="e">
        <f t="shared" ref="H70:M70" si="6">RANK(H66,H2:H64,0)</f>
        <v>#N/A</v>
      </c>
      <c r="I70" s="10" t="e">
        <f t="shared" si="6"/>
        <v>#N/A</v>
      </c>
      <c r="J70" s="10" t="e">
        <f t="shared" si="6"/>
        <v>#N/A</v>
      </c>
      <c r="K70" s="10" t="e">
        <f t="shared" si="6"/>
        <v>#N/A</v>
      </c>
      <c r="L70" s="10" t="e">
        <f t="shared" si="6"/>
        <v>#N/A</v>
      </c>
      <c r="M70" s="10" t="e">
        <f t="shared" si="6"/>
        <v>#N/A</v>
      </c>
      <c r="N70" s="2"/>
      <c r="O70" s="2"/>
      <c r="P70" s="2"/>
      <c r="Q70" s="2"/>
      <c r="R70" s="2"/>
      <c r="S70" s="2"/>
      <c r="T70" s="2"/>
      <c r="U70" s="2"/>
      <c r="V70" s="2"/>
      <c r="W70" s="2"/>
      <c r="X70" s="2"/>
      <c r="Y70" s="2"/>
    </row>
    <row r="71" spans="1:25"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row>
    <row r="72" spans="1:25"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row>
    <row r="73" spans="1:25" ht="12.75" customHeight="1" x14ac:dyDescent="0.25">
      <c r="A73" s="2"/>
      <c r="B73" s="2"/>
      <c r="C73" s="31">
        <f>10*(C3-MIN(C2:C64))/MAX(C2:C64)-MIN(C2:C64)</f>
        <v>3.0378023151902469</v>
      </c>
      <c r="D73" s="2"/>
      <c r="E73" s="2"/>
      <c r="F73" s="2"/>
      <c r="G73" s="2"/>
      <c r="H73" s="2"/>
      <c r="I73" s="2"/>
      <c r="J73" s="2"/>
      <c r="K73" s="2"/>
      <c r="L73" s="2"/>
      <c r="M73" s="2"/>
      <c r="N73" s="2"/>
      <c r="O73" s="2"/>
      <c r="P73" s="2"/>
      <c r="Q73" s="2"/>
      <c r="R73" s="2"/>
      <c r="S73" s="2"/>
      <c r="T73" s="2"/>
      <c r="U73" s="2"/>
      <c r="V73" s="2"/>
      <c r="W73" s="2"/>
      <c r="X73" s="2"/>
      <c r="Y73" s="2"/>
    </row>
    <row r="74" spans="1:25" ht="12.75" customHeight="1" x14ac:dyDescent="0.25">
      <c r="A74" s="2"/>
      <c r="B74" s="2"/>
      <c r="C74" s="31">
        <f>10*(C4-MIN(C4:C66))/MAX(C4:C66)-MIN(C4:C66)</f>
        <v>8.0534024904396961</v>
      </c>
      <c r="D74" s="2"/>
      <c r="E74" s="2"/>
      <c r="F74" s="2"/>
      <c r="G74" s="2"/>
      <c r="H74" s="2"/>
      <c r="I74" s="2"/>
      <c r="J74" s="2"/>
      <c r="K74" s="2"/>
      <c r="L74" s="2"/>
      <c r="M74" s="2"/>
      <c r="N74" s="2"/>
      <c r="O74" s="2"/>
      <c r="P74" s="2"/>
      <c r="Q74" s="2"/>
      <c r="R74" s="2"/>
      <c r="S74" s="2"/>
      <c r="T74" s="2"/>
      <c r="U74" s="2"/>
      <c r="V74" s="2"/>
      <c r="W74" s="2"/>
      <c r="X74" s="2"/>
      <c r="Y74" s="2"/>
    </row>
    <row r="75" spans="1:25" ht="12.75" customHeight="1" x14ac:dyDescent="0.25">
      <c r="A75" s="2"/>
      <c r="B75" s="2"/>
      <c r="C75" s="31">
        <f>10*(C5-MIN(C4:C66))/MAX(C4:C66)-MIN(C4:C66)</f>
        <v>8.0972225672484939</v>
      </c>
      <c r="D75" s="2"/>
      <c r="E75" s="2"/>
      <c r="F75" s="2"/>
      <c r="G75" s="2"/>
      <c r="H75" s="2"/>
      <c r="I75" s="2"/>
      <c r="J75" s="2"/>
      <c r="K75" s="2"/>
      <c r="L75" s="2"/>
      <c r="M75" s="2"/>
      <c r="N75" s="2"/>
      <c r="O75" s="2"/>
      <c r="P75" s="2"/>
      <c r="Q75" s="2"/>
      <c r="R75" s="2"/>
      <c r="S75" s="2"/>
      <c r="T75" s="2"/>
      <c r="U75" s="2"/>
      <c r="V75" s="2"/>
      <c r="W75" s="2"/>
      <c r="X75" s="2"/>
      <c r="Y75" s="2"/>
    </row>
    <row r="76" spans="1:25" ht="12.75" customHeight="1" x14ac:dyDescent="0.25">
      <c r="A76" s="2"/>
      <c r="B76" s="2"/>
      <c r="C76" s="31">
        <f t="shared" ref="C76:C147" si="7">10*(C6-MIN(C6:C68))/MAX(C6:C68)-MIN(C6:C68)</f>
        <v>8.7847222804011391</v>
      </c>
      <c r="D76" s="2"/>
      <c r="E76" s="2"/>
      <c r="F76" s="2"/>
      <c r="G76" s="2"/>
      <c r="H76" s="2"/>
      <c r="I76" s="2"/>
      <c r="J76" s="2"/>
      <c r="K76" s="2"/>
      <c r="L76" s="2"/>
      <c r="M76" s="2"/>
      <c r="N76" s="2"/>
      <c r="O76" s="2"/>
      <c r="P76" s="2"/>
      <c r="Q76" s="2"/>
      <c r="R76" s="2"/>
      <c r="S76" s="2"/>
      <c r="T76" s="2"/>
      <c r="U76" s="2"/>
      <c r="V76" s="2"/>
      <c r="W76" s="2"/>
      <c r="X76" s="2"/>
      <c r="Y76" s="2"/>
    </row>
    <row r="77" spans="1:25" ht="12.75" customHeight="1" x14ac:dyDescent="0.25">
      <c r="A77" s="2"/>
      <c r="B77" s="2"/>
      <c r="C77" s="31">
        <f t="shared" si="7"/>
        <v>5.511982643021363</v>
      </c>
      <c r="D77" s="2"/>
      <c r="E77" s="2"/>
      <c r="F77" s="2"/>
      <c r="G77" s="2"/>
      <c r="H77" s="2"/>
      <c r="I77" s="2"/>
      <c r="J77" s="2"/>
      <c r="K77" s="2"/>
      <c r="L77" s="2"/>
      <c r="M77" s="2"/>
      <c r="N77" s="2"/>
      <c r="O77" s="2"/>
      <c r="P77" s="2"/>
      <c r="Q77" s="2"/>
      <c r="R77" s="2"/>
      <c r="S77" s="2"/>
      <c r="T77" s="2"/>
      <c r="U77" s="2"/>
      <c r="V77" s="2"/>
      <c r="W77" s="2"/>
      <c r="X77" s="2"/>
      <c r="Y77" s="2"/>
    </row>
    <row r="78" spans="1:25" ht="12.75" customHeight="1" x14ac:dyDescent="0.25">
      <c r="A78" s="2"/>
      <c r="B78" s="2"/>
      <c r="C78" s="2" t="e">
        <f t="shared" si="7"/>
        <v>#N/A</v>
      </c>
      <c r="D78" s="2"/>
      <c r="E78" s="2"/>
      <c r="F78" s="2"/>
      <c r="G78" s="2"/>
      <c r="H78" s="2"/>
      <c r="I78" s="2"/>
      <c r="J78" s="2"/>
      <c r="K78" s="2"/>
      <c r="L78" s="2"/>
      <c r="M78" s="2"/>
      <c r="N78" s="2"/>
      <c r="O78" s="2"/>
      <c r="P78" s="2"/>
      <c r="Q78" s="2"/>
      <c r="R78" s="2"/>
      <c r="S78" s="2"/>
      <c r="T78" s="2"/>
      <c r="U78" s="2"/>
      <c r="V78" s="2"/>
      <c r="W78" s="2"/>
      <c r="X78" s="2"/>
      <c r="Y78" s="2"/>
    </row>
    <row r="79" spans="1:25" ht="12.75" customHeight="1" x14ac:dyDescent="0.25">
      <c r="A79" s="2"/>
      <c r="B79" s="2"/>
      <c r="C79" s="2" t="e">
        <f t="shared" si="7"/>
        <v>#N/A</v>
      </c>
      <c r="D79" s="2"/>
      <c r="E79" s="2"/>
      <c r="F79" s="2"/>
      <c r="G79" s="2"/>
      <c r="H79" s="2"/>
      <c r="I79" s="2"/>
      <c r="J79" s="2"/>
      <c r="K79" s="2"/>
      <c r="L79" s="2"/>
      <c r="M79" s="2"/>
      <c r="N79" s="2"/>
      <c r="O79" s="2"/>
      <c r="P79" s="2"/>
      <c r="Q79" s="2"/>
      <c r="R79" s="2"/>
      <c r="S79" s="2"/>
      <c r="T79" s="2"/>
      <c r="U79" s="2"/>
      <c r="V79" s="2"/>
      <c r="W79" s="2"/>
      <c r="X79" s="2"/>
      <c r="Y79" s="2"/>
    </row>
    <row r="80" spans="1:25" ht="12.75" customHeight="1" x14ac:dyDescent="0.25">
      <c r="A80" s="2"/>
      <c r="B80" s="2"/>
      <c r="C80" s="2" t="e">
        <f t="shared" si="7"/>
        <v>#N/A</v>
      </c>
      <c r="D80" s="2"/>
      <c r="E80" s="2"/>
      <c r="F80" s="2"/>
      <c r="G80" s="2"/>
      <c r="H80" s="2"/>
      <c r="I80" s="2"/>
      <c r="J80" s="2"/>
      <c r="K80" s="2"/>
      <c r="L80" s="2"/>
      <c r="M80" s="2"/>
      <c r="N80" s="2"/>
      <c r="O80" s="2"/>
      <c r="P80" s="2"/>
      <c r="Q80" s="2"/>
      <c r="R80" s="2"/>
      <c r="S80" s="2"/>
      <c r="T80" s="2"/>
      <c r="U80" s="2"/>
      <c r="V80" s="2"/>
      <c r="W80" s="2"/>
      <c r="X80" s="2"/>
      <c r="Y80" s="2"/>
    </row>
    <row r="81" spans="1:25" ht="12.75" customHeight="1" x14ac:dyDescent="0.25">
      <c r="A81" s="2"/>
      <c r="B81" s="2"/>
      <c r="C81" s="2" t="e">
        <f t="shared" si="7"/>
        <v>#N/A</v>
      </c>
      <c r="D81" s="2"/>
      <c r="E81" s="2"/>
      <c r="F81" s="2"/>
      <c r="G81" s="2"/>
      <c r="H81" s="2"/>
      <c r="I81" s="2"/>
      <c r="J81" s="2"/>
      <c r="K81" s="2"/>
      <c r="L81" s="2"/>
      <c r="M81" s="2"/>
      <c r="N81" s="2"/>
      <c r="O81" s="2"/>
      <c r="P81" s="2"/>
      <c r="Q81" s="2"/>
      <c r="R81" s="2"/>
      <c r="S81" s="2"/>
      <c r="T81" s="2"/>
      <c r="U81" s="2"/>
      <c r="V81" s="2"/>
      <c r="W81" s="2"/>
      <c r="X81" s="2"/>
      <c r="Y81" s="2"/>
    </row>
    <row r="82" spans="1:25" ht="12.75" customHeight="1" x14ac:dyDescent="0.25">
      <c r="A82" s="2"/>
      <c r="B82" s="2"/>
      <c r="C82" s="2" t="e">
        <f t="shared" si="7"/>
        <v>#N/A</v>
      </c>
      <c r="D82" s="2"/>
      <c r="E82" s="2"/>
      <c r="F82" s="2"/>
      <c r="G82" s="2"/>
      <c r="H82" s="2"/>
      <c r="I82" s="2"/>
      <c r="J82" s="2"/>
      <c r="K82" s="2"/>
      <c r="L82" s="2"/>
      <c r="M82" s="2"/>
      <c r="N82" s="2"/>
      <c r="O82" s="2"/>
      <c r="P82" s="2"/>
      <c r="Q82" s="2"/>
      <c r="R82" s="2"/>
      <c r="S82" s="2"/>
      <c r="T82" s="2"/>
      <c r="U82" s="2"/>
      <c r="V82" s="2"/>
      <c r="W82" s="2"/>
      <c r="X82" s="2"/>
      <c r="Y82" s="2"/>
    </row>
    <row r="83" spans="1:25" ht="12.75" customHeight="1" x14ac:dyDescent="0.25">
      <c r="A83" s="2"/>
      <c r="B83" s="2"/>
      <c r="C83" s="2" t="e">
        <f t="shared" si="7"/>
        <v>#N/A</v>
      </c>
      <c r="D83" s="2"/>
      <c r="E83" s="2"/>
      <c r="F83" s="2"/>
      <c r="G83" s="2"/>
      <c r="H83" s="2"/>
      <c r="I83" s="2"/>
      <c r="J83" s="2"/>
      <c r="K83" s="2"/>
      <c r="L83" s="2"/>
      <c r="M83" s="2"/>
      <c r="N83" s="2"/>
      <c r="O83" s="2"/>
      <c r="P83" s="2"/>
      <c r="Q83" s="2"/>
      <c r="R83" s="2"/>
      <c r="S83" s="2"/>
      <c r="T83" s="2"/>
      <c r="U83" s="2"/>
      <c r="V83" s="2"/>
      <c r="W83" s="2"/>
      <c r="X83" s="2"/>
      <c r="Y83" s="2"/>
    </row>
    <row r="84" spans="1:25" ht="12.75" customHeight="1" x14ac:dyDescent="0.25">
      <c r="A84" s="2"/>
      <c r="B84" s="2"/>
      <c r="C84" s="2" t="e">
        <f t="shared" si="7"/>
        <v>#N/A</v>
      </c>
      <c r="D84" s="2"/>
      <c r="E84" s="2"/>
      <c r="F84" s="2"/>
      <c r="G84" s="2"/>
      <c r="H84" s="2"/>
      <c r="I84" s="2"/>
      <c r="J84" s="2"/>
      <c r="K84" s="2"/>
      <c r="L84" s="2"/>
      <c r="M84" s="2"/>
      <c r="N84" s="2"/>
      <c r="O84" s="2"/>
      <c r="P84" s="2"/>
      <c r="Q84" s="2"/>
      <c r="R84" s="2"/>
      <c r="S84" s="2"/>
      <c r="T84" s="2"/>
      <c r="U84" s="2"/>
      <c r="V84" s="2"/>
      <c r="W84" s="2"/>
      <c r="X84" s="2"/>
      <c r="Y84" s="2"/>
    </row>
    <row r="85" spans="1:25" ht="12.75" customHeight="1" x14ac:dyDescent="0.25">
      <c r="A85" s="2"/>
      <c r="B85" s="2"/>
      <c r="C85" s="2" t="e">
        <f t="shared" si="7"/>
        <v>#N/A</v>
      </c>
      <c r="D85" s="2"/>
      <c r="E85" s="2"/>
      <c r="F85" s="2"/>
      <c r="G85" s="2"/>
      <c r="H85" s="2"/>
      <c r="I85" s="2"/>
      <c r="J85" s="2"/>
      <c r="K85" s="2"/>
      <c r="L85" s="2"/>
      <c r="M85" s="2"/>
      <c r="N85" s="2"/>
      <c r="O85" s="2"/>
      <c r="P85" s="2"/>
      <c r="Q85" s="2"/>
      <c r="R85" s="2"/>
      <c r="S85" s="2"/>
      <c r="T85" s="2"/>
      <c r="U85" s="2"/>
      <c r="V85" s="2"/>
      <c r="W85" s="2"/>
      <c r="X85" s="2"/>
      <c r="Y85" s="2"/>
    </row>
    <row r="86" spans="1:25" ht="12.75" customHeight="1" x14ac:dyDescent="0.25">
      <c r="A86" s="2"/>
      <c r="B86" s="2"/>
      <c r="C86" s="2" t="e">
        <f t="shared" si="7"/>
        <v>#N/A</v>
      </c>
      <c r="D86" s="2"/>
      <c r="E86" s="2"/>
      <c r="F86" s="2"/>
      <c r="G86" s="2"/>
      <c r="H86" s="2"/>
      <c r="I86" s="2"/>
      <c r="J86" s="2"/>
      <c r="K86" s="2"/>
      <c r="L86" s="2"/>
      <c r="M86" s="2"/>
      <c r="N86" s="2"/>
      <c r="O86" s="2"/>
      <c r="P86" s="2"/>
      <c r="Q86" s="2"/>
      <c r="R86" s="2"/>
      <c r="S86" s="2"/>
      <c r="T86" s="2"/>
      <c r="U86" s="2"/>
      <c r="V86" s="2"/>
      <c r="W86" s="2"/>
      <c r="X86" s="2"/>
      <c r="Y86" s="2"/>
    </row>
    <row r="87" spans="1:25" ht="12.75" customHeight="1" x14ac:dyDescent="0.25">
      <c r="A87" s="2"/>
      <c r="B87" s="2"/>
      <c r="C87" s="2" t="e">
        <f t="shared" si="7"/>
        <v>#N/A</v>
      </c>
      <c r="D87" s="2"/>
      <c r="E87" s="2"/>
      <c r="F87" s="2"/>
      <c r="G87" s="2"/>
      <c r="H87" s="2"/>
      <c r="I87" s="2"/>
      <c r="J87" s="2"/>
      <c r="K87" s="2"/>
      <c r="L87" s="2"/>
      <c r="M87" s="2"/>
      <c r="N87" s="2"/>
      <c r="O87" s="2"/>
      <c r="P87" s="2"/>
      <c r="Q87" s="2"/>
      <c r="R87" s="2"/>
      <c r="S87" s="2"/>
      <c r="T87" s="2"/>
      <c r="U87" s="2"/>
      <c r="V87" s="2"/>
      <c r="W87" s="2"/>
      <c r="X87" s="2"/>
      <c r="Y87" s="2"/>
    </row>
    <row r="88" spans="1:25" ht="12.75" customHeight="1" x14ac:dyDescent="0.25">
      <c r="A88" s="2"/>
      <c r="B88" s="2"/>
      <c r="C88" s="2" t="e">
        <f t="shared" si="7"/>
        <v>#N/A</v>
      </c>
      <c r="D88" s="2"/>
      <c r="E88" s="2"/>
      <c r="F88" s="2"/>
      <c r="G88" s="2"/>
      <c r="H88" s="2"/>
      <c r="I88" s="2"/>
      <c r="J88" s="2"/>
      <c r="K88" s="2"/>
      <c r="L88" s="2"/>
      <c r="M88" s="2"/>
      <c r="N88" s="2"/>
      <c r="O88" s="2"/>
      <c r="P88" s="2"/>
      <c r="Q88" s="2"/>
      <c r="R88" s="2"/>
      <c r="S88" s="2"/>
      <c r="T88" s="2"/>
      <c r="U88" s="2"/>
      <c r="V88" s="2"/>
      <c r="W88" s="2"/>
      <c r="X88" s="2"/>
      <c r="Y88" s="2"/>
    </row>
    <row r="89" spans="1:25" ht="12.75" customHeight="1" x14ac:dyDescent="0.25">
      <c r="A89" s="2"/>
      <c r="B89" s="2"/>
      <c r="C89" s="2" t="e">
        <f t="shared" si="7"/>
        <v>#N/A</v>
      </c>
      <c r="D89" s="2"/>
      <c r="E89" s="2"/>
      <c r="F89" s="2"/>
      <c r="G89" s="2"/>
      <c r="H89" s="2"/>
      <c r="I89" s="2"/>
      <c r="J89" s="2"/>
      <c r="K89" s="2"/>
      <c r="L89" s="2"/>
      <c r="M89" s="2"/>
      <c r="N89" s="2"/>
      <c r="O89" s="2"/>
      <c r="P89" s="2"/>
      <c r="Q89" s="2"/>
      <c r="R89" s="2"/>
      <c r="S89" s="2"/>
      <c r="T89" s="2"/>
      <c r="U89" s="2"/>
      <c r="V89" s="2"/>
      <c r="W89" s="2"/>
      <c r="X89" s="2"/>
      <c r="Y89" s="2"/>
    </row>
    <row r="90" spans="1:25" ht="12.75" customHeight="1" x14ac:dyDescent="0.25">
      <c r="A90" s="2"/>
      <c r="B90" s="2"/>
      <c r="C90" s="2" t="e">
        <f t="shared" si="7"/>
        <v>#N/A</v>
      </c>
      <c r="D90" s="2"/>
      <c r="E90" s="2"/>
      <c r="F90" s="2"/>
      <c r="G90" s="2"/>
      <c r="H90" s="2"/>
      <c r="I90" s="2"/>
      <c r="J90" s="2"/>
      <c r="K90" s="2"/>
      <c r="L90" s="2"/>
      <c r="M90" s="2"/>
      <c r="N90" s="2"/>
      <c r="O90" s="2"/>
      <c r="P90" s="2"/>
      <c r="Q90" s="2"/>
      <c r="R90" s="2"/>
      <c r="S90" s="2"/>
      <c r="T90" s="2"/>
      <c r="U90" s="2"/>
      <c r="V90" s="2"/>
      <c r="W90" s="2"/>
      <c r="X90" s="2"/>
      <c r="Y90" s="2"/>
    </row>
    <row r="91" spans="1:25" ht="12.75" customHeight="1" x14ac:dyDescent="0.25">
      <c r="A91" s="2"/>
      <c r="B91" s="2"/>
      <c r="C91" s="2" t="e">
        <f t="shared" si="7"/>
        <v>#N/A</v>
      </c>
      <c r="D91" s="2"/>
      <c r="E91" s="2"/>
      <c r="F91" s="2"/>
      <c r="G91" s="2"/>
      <c r="H91" s="2"/>
      <c r="I91" s="2"/>
      <c r="J91" s="2"/>
      <c r="K91" s="2"/>
      <c r="L91" s="2"/>
      <c r="M91" s="2"/>
      <c r="N91" s="2"/>
      <c r="O91" s="2"/>
      <c r="P91" s="2"/>
      <c r="Q91" s="2"/>
      <c r="R91" s="2"/>
      <c r="S91" s="2"/>
      <c r="T91" s="2"/>
      <c r="U91" s="2"/>
      <c r="V91" s="2"/>
      <c r="W91" s="2"/>
      <c r="X91" s="2"/>
      <c r="Y91" s="2"/>
    </row>
    <row r="92" spans="1:25" ht="12.75" customHeight="1" x14ac:dyDescent="0.25">
      <c r="A92" s="2"/>
      <c r="B92" s="2"/>
      <c r="C92" s="2" t="e">
        <f t="shared" si="7"/>
        <v>#N/A</v>
      </c>
      <c r="D92" s="2"/>
      <c r="E92" s="2"/>
      <c r="F92" s="2"/>
      <c r="G92" s="2"/>
      <c r="H92" s="2"/>
      <c r="I92" s="2"/>
      <c r="J92" s="2"/>
      <c r="K92" s="2"/>
      <c r="L92" s="2"/>
      <c r="M92" s="2"/>
      <c r="N92" s="2"/>
      <c r="O92" s="2"/>
      <c r="P92" s="2"/>
      <c r="Q92" s="2"/>
      <c r="R92" s="2"/>
      <c r="S92" s="2"/>
      <c r="T92" s="2"/>
      <c r="U92" s="2"/>
      <c r="V92" s="2"/>
      <c r="W92" s="2"/>
      <c r="X92" s="2"/>
      <c r="Y92" s="2"/>
    </row>
    <row r="93" spans="1:25" ht="12.75" customHeight="1" x14ac:dyDescent="0.25">
      <c r="A93" s="2"/>
      <c r="B93" s="2"/>
      <c r="C93" s="2" t="e">
        <f t="shared" si="7"/>
        <v>#N/A</v>
      </c>
      <c r="D93" s="2"/>
      <c r="E93" s="2"/>
      <c r="F93" s="2"/>
      <c r="G93" s="2"/>
      <c r="H93" s="2"/>
      <c r="I93" s="2"/>
      <c r="J93" s="2"/>
      <c r="K93" s="2"/>
      <c r="L93" s="2"/>
      <c r="M93" s="2"/>
      <c r="N93" s="2"/>
      <c r="O93" s="2"/>
      <c r="P93" s="2"/>
      <c r="Q93" s="2"/>
      <c r="R93" s="2"/>
      <c r="S93" s="2"/>
      <c r="T93" s="2"/>
      <c r="U93" s="2"/>
      <c r="V93" s="2"/>
      <c r="W93" s="2"/>
      <c r="X93" s="2"/>
      <c r="Y93" s="2"/>
    </row>
    <row r="94" spans="1:25" ht="12.75" customHeight="1" x14ac:dyDescent="0.25">
      <c r="A94" s="2"/>
      <c r="B94" s="2"/>
      <c r="C94" s="2" t="e">
        <f t="shared" si="7"/>
        <v>#N/A</v>
      </c>
      <c r="D94" s="2"/>
      <c r="E94" s="2"/>
      <c r="F94" s="2"/>
      <c r="G94" s="2"/>
      <c r="H94" s="2"/>
      <c r="I94" s="2"/>
      <c r="J94" s="2"/>
      <c r="K94" s="2"/>
      <c r="L94" s="2"/>
      <c r="M94" s="2"/>
      <c r="N94" s="2"/>
      <c r="O94" s="2"/>
      <c r="P94" s="2"/>
      <c r="Q94" s="2"/>
      <c r="R94" s="2"/>
      <c r="S94" s="2"/>
      <c r="T94" s="2"/>
      <c r="U94" s="2"/>
      <c r="V94" s="2"/>
      <c r="W94" s="2"/>
      <c r="X94" s="2"/>
      <c r="Y94" s="2"/>
    </row>
    <row r="95" spans="1:25" ht="12.75" customHeight="1" x14ac:dyDescent="0.25">
      <c r="A95" s="2"/>
      <c r="B95" s="2"/>
      <c r="C95" s="2" t="e">
        <f t="shared" si="7"/>
        <v>#N/A</v>
      </c>
      <c r="D95" s="2"/>
      <c r="E95" s="2"/>
      <c r="F95" s="2"/>
      <c r="G95" s="2"/>
      <c r="H95" s="2"/>
      <c r="I95" s="2"/>
      <c r="J95" s="2"/>
      <c r="K95" s="2"/>
      <c r="L95" s="2"/>
      <c r="M95" s="2"/>
      <c r="N95" s="2"/>
      <c r="O95" s="2"/>
      <c r="P95" s="2"/>
      <c r="Q95" s="2"/>
      <c r="R95" s="2"/>
      <c r="S95" s="2"/>
      <c r="T95" s="2"/>
      <c r="U95" s="2"/>
      <c r="V95" s="2"/>
      <c r="W95" s="2"/>
      <c r="X95" s="2"/>
      <c r="Y95" s="2"/>
    </row>
    <row r="96" spans="1:25" ht="12.75" customHeight="1" x14ac:dyDescent="0.25">
      <c r="A96" s="2"/>
      <c r="B96" s="2"/>
      <c r="C96" s="2" t="e">
        <f t="shared" si="7"/>
        <v>#N/A</v>
      </c>
      <c r="D96" s="2"/>
      <c r="E96" s="2"/>
      <c r="F96" s="2"/>
      <c r="G96" s="2"/>
      <c r="H96" s="2"/>
      <c r="I96" s="2"/>
      <c r="J96" s="2"/>
      <c r="K96" s="2"/>
      <c r="L96" s="2"/>
      <c r="M96" s="2"/>
      <c r="N96" s="2"/>
      <c r="O96" s="2"/>
      <c r="P96" s="2"/>
      <c r="Q96" s="2"/>
      <c r="R96" s="2"/>
      <c r="S96" s="2"/>
      <c r="T96" s="2"/>
      <c r="U96" s="2"/>
      <c r="V96" s="2"/>
      <c r="W96" s="2"/>
      <c r="X96" s="2"/>
      <c r="Y96" s="2"/>
    </row>
    <row r="97" spans="1:25" ht="12.75" customHeight="1" x14ac:dyDescent="0.25">
      <c r="A97" s="2"/>
      <c r="B97" s="2"/>
      <c r="C97" s="2" t="e">
        <f t="shared" si="7"/>
        <v>#N/A</v>
      </c>
      <c r="D97" s="2"/>
      <c r="E97" s="2"/>
      <c r="F97" s="2"/>
      <c r="G97" s="2"/>
      <c r="H97" s="2"/>
      <c r="I97" s="2"/>
      <c r="J97" s="2"/>
      <c r="K97" s="2"/>
      <c r="L97" s="2"/>
      <c r="M97" s="2"/>
      <c r="N97" s="2"/>
      <c r="O97" s="2"/>
      <c r="P97" s="2"/>
      <c r="Q97" s="2"/>
      <c r="R97" s="2"/>
      <c r="S97" s="2"/>
      <c r="T97" s="2"/>
      <c r="U97" s="2"/>
      <c r="V97" s="2"/>
      <c r="W97" s="2"/>
      <c r="X97" s="2"/>
      <c r="Y97" s="2"/>
    </row>
    <row r="98" spans="1:25" ht="12.75" customHeight="1" x14ac:dyDescent="0.25">
      <c r="A98" s="2"/>
      <c r="B98" s="2"/>
      <c r="C98" s="2" t="e">
        <f t="shared" si="7"/>
        <v>#N/A</v>
      </c>
      <c r="D98" s="2"/>
      <c r="E98" s="2"/>
      <c r="F98" s="2"/>
      <c r="G98" s="2"/>
      <c r="H98" s="2"/>
      <c r="I98" s="2"/>
      <c r="J98" s="2"/>
      <c r="K98" s="2"/>
      <c r="L98" s="2"/>
      <c r="M98" s="2"/>
      <c r="N98" s="2"/>
      <c r="O98" s="2"/>
      <c r="P98" s="2"/>
      <c r="Q98" s="2"/>
      <c r="R98" s="2"/>
      <c r="S98" s="2"/>
      <c r="T98" s="2"/>
      <c r="U98" s="2"/>
      <c r="V98" s="2"/>
      <c r="W98" s="2"/>
      <c r="X98" s="2"/>
      <c r="Y98" s="2"/>
    </row>
    <row r="99" spans="1:25" ht="12.75" customHeight="1" x14ac:dyDescent="0.25">
      <c r="A99" s="2"/>
      <c r="B99" s="2"/>
      <c r="C99" s="2" t="e">
        <f t="shared" si="7"/>
        <v>#N/A</v>
      </c>
      <c r="D99" s="2"/>
      <c r="E99" s="2"/>
      <c r="F99" s="2"/>
      <c r="G99" s="2"/>
      <c r="H99" s="2"/>
      <c r="I99" s="2"/>
      <c r="J99" s="2"/>
      <c r="K99" s="2"/>
      <c r="L99" s="2"/>
      <c r="M99" s="2"/>
      <c r="N99" s="2"/>
      <c r="O99" s="2"/>
      <c r="P99" s="2"/>
      <c r="Q99" s="2"/>
      <c r="R99" s="2"/>
      <c r="S99" s="2"/>
      <c r="T99" s="2"/>
      <c r="U99" s="2"/>
      <c r="V99" s="2"/>
      <c r="W99" s="2"/>
      <c r="X99" s="2"/>
      <c r="Y99" s="2"/>
    </row>
    <row r="100" spans="1:25" ht="12.75" customHeight="1" x14ac:dyDescent="0.25">
      <c r="A100" s="2"/>
      <c r="B100" s="2"/>
      <c r="C100" s="2" t="e">
        <f t="shared" si="7"/>
        <v>#N/A</v>
      </c>
      <c r="D100" s="2"/>
      <c r="E100" s="2"/>
      <c r="F100" s="2"/>
      <c r="G100" s="2"/>
      <c r="H100" s="2"/>
      <c r="I100" s="2"/>
      <c r="J100" s="2"/>
      <c r="K100" s="2"/>
      <c r="L100" s="2"/>
      <c r="M100" s="2"/>
      <c r="N100" s="2"/>
      <c r="O100" s="2"/>
      <c r="P100" s="2"/>
      <c r="Q100" s="2"/>
      <c r="R100" s="2"/>
      <c r="S100" s="2"/>
      <c r="T100" s="2"/>
      <c r="U100" s="2"/>
      <c r="V100" s="2"/>
      <c r="W100" s="2"/>
      <c r="X100" s="2"/>
      <c r="Y100" s="2"/>
    </row>
    <row r="101" spans="1:25" ht="12.75" customHeight="1" x14ac:dyDescent="0.25">
      <c r="A101" s="2"/>
      <c r="B101" s="2"/>
      <c r="C101" s="2" t="e">
        <f t="shared" si="7"/>
        <v>#N/A</v>
      </c>
      <c r="D101" s="2"/>
      <c r="E101" s="2"/>
      <c r="F101" s="2"/>
      <c r="G101" s="2"/>
      <c r="H101" s="2"/>
      <c r="I101" s="2"/>
      <c r="J101" s="2"/>
      <c r="K101" s="2"/>
      <c r="L101" s="2"/>
      <c r="M101" s="2"/>
      <c r="N101" s="2"/>
      <c r="O101" s="2"/>
      <c r="P101" s="2"/>
      <c r="Q101" s="2"/>
      <c r="R101" s="2"/>
      <c r="S101" s="2"/>
      <c r="T101" s="2"/>
      <c r="U101" s="2"/>
      <c r="V101" s="2"/>
      <c r="W101" s="2"/>
      <c r="X101" s="2"/>
      <c r="Y101" s="2"/>
    </row>
    <row r="102" spans="1:25" ht="12.75" customHeight="1" x14ac:dyDescent="0.25">
      <c r="A102" s="2"/>
      <c r="B102" s="2"/>
      <c r="C102" s="2" t="e">
        <f t="shared" si="7"/>
        <v>#N/A</v>
      </c>
      <c r="D102" s="2"/>
      <c r="E102" s="2"/>
      <c r="F102" s="2"/>
      <c r="G102" s="2"/>
      <c r="H102" s="2"/>
      <c r="I102" s="2"/>
      <c r="J102" s="2"/>
      <c r="K102" s="2"/>
      <c r="L102" s="2"/>
      <c r="M102" s="2"/>
      <c r="N102" s="2"/>
      <c r="O102" s="2"/>
      <c r="P102" s="2"/>
      <c r="Q102" s="2"/>
      <c r="R102" s="2"/>
      <c r="S102" s="2"/>
      <c r="T102" s="2"/>
      <c r="U102" s="2"/>
      <c r="V102" s="2"/>
      <c r="W102" s="2"/>
      <c r="X102" s="2"/>
      <c r="Y102" s="2"/>
    </row>
    <row r="103" spans="1:25" ht="12.75" customHeight="1" x14ac:dyDescent="0.25">
      <c r="A103" s="2"/>
      <c r="B103" s="2"/>
      <c r="C103" s="2" t="e">
        <f t="shared" si="7"/>
        <v>#N/A</v>
      </c>
      <c r="D103" s="2"/>
      <c r="E103" s="2"/>
      <c r="F103" s="2"/>
      <c r="G103" s="2"/>
      <c r="H103" s="2"/>
      <c r="I103" s="2"/>
      <c r="J103" s="2"/>
      <c r="K103" s="2"/>
      <c r="L103" s="2"/>
      <c r="M103" s="2"/>
      <c r="N103" s="2"/>
      <c r="O103" s="2"/>
      <c r="P103" s="2"/>
      <c r="Q103" s="2"/>
      <c r="R103" s="2"/>
      <c r="S103" s="2"/>
      <c r="T103" s="2"/>
      <c r="U103" s="2"/>
      <c r="V103" s="2"/>
      <c r="W103" s="2"/>
      <c r="X103" s="2"/>
      <c r="Y103" s="2"/>
    </row>
    <row r="104" spans="1:25" ht="12.75" customHeight="1" x14ac:dyDescent="0.25">
      <c r="A104" s="2"/>
      <c r="B104" s="2"/>
      <c r="C104" s="2" t="e">
        <f t="shared" si="7"/>
        <v>#N/A</v>
      </c>
      <c r="D104" s="2"/>
      <c r="E104" s="2"/>
      <c r="F104" s="2"/>
      <c r="G104" s="2"/>
      <c r="H104" s="2"/>
      <c r="I104" s="2"/>
      <c r="J104" s="2"/>
      <c r="K104" s="2"/>
      <c r="L104" s="2"/>
      <c r="M104" s="2"/>
      <c r="N104" s="2"/>
      <c r="O104" s="2"/>
      <c r="P104" s="2"/>
      <c r="Q104" s="2"/>
      <c r="R104" s="2"/>
      <c r="S104" s="2"/>
      <c r="T104" s="2"/>
      <c r="U104" s="2"/>
      <c r="V104" s="2"/>
      <c r="W104" s="2"/>
      <c r="X104" s="2"/>
      <c r="Y104" s="2"/>
    </row>
    <row r="105" spans="1:25" ht="12.75" customHeight="1" x14ac:dyDescent="0.25">
      <c r="A105" s="2"/>
      <c r="B105" s="2"/>
      <c r="C105" s="2" t="e">
        <f t="shared" si="7"/>
        <v>#N/A</v>
      </c>
      <c r="D105" s="2"/>
      <c r="E105" s="2"/>
      <c r="F105" s="2"/>
      <c r="G105" s="2"/>
      <c r="H105" s="2"/>
      <c r="I105" s="2"/>
      <c r="J105" s="2"/>
      <c r="K105" s="2"/>
      <c r="L105" s="2"/>
      <c r="M105" s="2"/>
      <c r="N105" s="2"/>
      <c r="O105" s="2"/>
      <c r="P105" s="2"/>
      <c r="Q105" s="2"/>
      <c r="R105" s="2"/>
      <c r="S105" s="2"/>
      <c r="T105" s="2"/>
      <c r="U105" s="2"/>
      <c r="V105" s="2"/>
      <c r="W105" s="2"/>
      <c r="X105" s="2"/>
      <c r="Y105" s="2"/>
    </row>
    <row r="106" spans="1:25" ht="12.75" customHeight="1" x14ac:dyDescent="0.25">
      <c r="A106" s="2"/>
      <c r="B106" s="2"/>
      <c r="C106" s="2" t="e">
        <f t="shared" si="7"/>
        <v>#N/A</v>
      </c>
      <c r="D106" s="2"/>
      <c r="E106" s="2"/>
      <c r="F106" s="2"/>
      <c r="G106" s="2"/>
      <c r="H106" s="2"/>
      <c r="I106" s="2"/>
      <c r="J106" s="2"/>
      <c r="K106" s="2"/>
      <c r="L106" s="2"/>
      <c r="M106" s="2"/>
      <c r="N106" s="2"/>
      <c r="O106" s="2"/>
      <c r="P106" s="2"/>
      <c r="Q106" s="2"/>
      <c r="R106" s="2"/>
      <c r="S106" s="2"/>
      <c r="T106" s="2"/>
      <c r="U106" s="2"/>
      <c r="V106" s="2"/>
      <c r="W106" s="2"/>
      <c r="X106" s="2"/>
      <c r="Y106" s="2"/>
    </row>
    <row r="107" spans="1:25" ht="12.75" customHeight="1" x14ac:dyDescent="0.25">
      <c r="A107" s="2"/>
      <c r="B107" s="2"/>
      <c r="C107" s="2" t="e">
        <f t="shared" si="7"/>
        <v>#N/A</v>
      </c>
      <c r="D107" s="2"/>
      <c r="E107" s="2"/>
      <c r="F107" s="2"/>
      <c r="G107" s="2"/>
      <c r="H107" s="2"/>
      <c r="I107" s="2"/>
      <c r="J107" s="2"/>
      <c r="K107" s="2"/>
      <c r="L107" s="2"/>
      <c r="M107" s="2"/>
      <c r="N107" s="2"/>
      <c r="O107" s="2"/>
      <c r="P107" s="2"/>
      <c r="Q107" s="2"/>
      <c r="R107" s="2"/>
      <c r="S107" s="2"/>
      <c r="T107" s="2"/>
      <c r="U107" s="2"/>
      <c r="V107" s="2"/>
      <c r="W107" s="2"/>
      <c r="X107" s="2"/>
      <c r="Y107" s="2"/>
    </row>
    <row r="108" spans="1:25" ht="12.75" customHeight="1" x14ac:dyDescent="0.25">
      <c r="A108" s="2"/>
      <c r="B108" s="2"/>
      <c r="C108" s="2" t="e">
        <f t="shared" si="7"/>
        <v>#N/A</v>
      </c>
      <c r="D108" s="2"/>
      <c r="E108" s="2"/>
      <c r="F108" s="2"/>
      <c r="G108" s="2"/>
      <c r="H108" s="2"/>
      <c r="I108" s="2"/>
      <c r="J108" s="2"/>
      <c r="K108" s="2"/>
      <c r="L108" s="2"/>
      <c r="M108" s="2"/>
      <c r="N108" s="2"/>
      <c r="O108" s="2"/>
      <c r="P108" s="2"/>
      <c r="Q108" s="2"/>
      <c r="R108" s="2"/>
      <c r="S108" s="2"/>
      <c r="T108" s="2"/>
      <c r="U108" s="2"/>
      <c r="V108" s="2"/>
      <c r="W108" s="2"/>
      <c r="X108" s="2"/>
      <c r="Y108" s="2"/>
    </row>
    <row r="109" spans="1:25" ht="12.75" customHeight="1" x14ac:dyDescent="0.25">
      <c r="A109" s="2"/>
      <c r="B109" s="2"/>
      <c r="C109" s="2" t="e">
        <f t="shared" si="7"/>
        <v>#N/A</v>
      </c>
      <c r="D109" s="2"/>
      <c r="E109" s="2"/>
      <c r="F109" s="2"/>
      <c r="G109" s="2"/>
      <c r="H109" s="2"/>
      <c r="I109" s="2"/>
      <c r="J109" s="2"/>
      <c r="K109" s="2"/>
      <c r="L109" s="2"/>
      <c r="M109" s="2"/>
      <c r="N109" s="2"/>
      <c r="O109" s="2"/>
      <c r="P109" s="2"/>
      <c r="Q109" s="2"/>
      <c r="R109" s="2"/>
      <c r="S109" s="2"/>
      <c r="T109" s="2"/>
      <c r="U109" s="2"/>
      <c r="V109" s="2"/>
      <c r="W109" s="2"/>
      <c r="X109" s="2"/>
      <c r="Y109" s="2"/>
    </row>
    <row r="110" spans="1:25" ht="12.75" customHeight="1" x14ac:dyDescent="0.25">
      <c r="A110" s="2"/>
      <c r="B110" s="2"/>
      <c r="C110" s="2" t="e">
        <f t="shared" si="7"/>
        <v>#N/A</v>
      </c>
      <c r="D110" s="2"/>
      <c r="E110" s="2"/>
      <c r="F110" s="2"/>
      <c r="G110" s="2"/>
      <c r="H110" s="2"/>
      <c r="I110" s="2"/>
      <c r="J110" s="2"/>
      <c r="K110" s="2"/>
      <c r="L110" s="2"/>
      <c r="M110" s="2"/>
      <c r="N110" s="2"/>
      <c r="O110" s="2"/>
      <c r="P110" s="2"/>
      <c r="Q110" s="2"/>
      <c r="R110" s="2"/>
      <c r="S110" s="2"/>
      <c r="T110" s="2"/>
      <c r="U110" s="2"/>
      <c r="V110" s="2"/>
      <c r="W110" s="2"/>
      <c r="X110" s="2"/>
      <c r="Y110" s="2"/>
    </row>
    <row r="111" spans="1:25" ht="12.75" customHeight="1" x14ac:dyDescent="0.25">
      <c r="A111" s="2"/>
      <c r="B111" s="2"/>
      <c r="C111" s="2" t="e">
        <f t="shared" si="7"/>
        <v>#N/A</v>
      </c>
      <c r="D111" s="2"/>
      <c r="E111" s="2"/>
      <c r="F111" s="2"/>
      <c r="G111" s="2"/>
      <c r="H111" s="2"/>
      <c r="I111" s="2"/>
      <c r="J111" s="2"/>
      <c r="K111" s="2"/>
      <c r="L111" s="2"/>
      <c r="M111" s="2"/>
      <c r="N111" s="2"/>
      <c r="O111" s="2"/>
      <c r="P111" s="2"/>
      <c r="Q111" s="2"/>
      <c r="R111" s="2"/>
      <c r="S111" s="2"/>
      <c r="T111" s="2"/>
      <c r="U111" s="2"/>
      <c r="V111" s="2"/>
      <c r="W111" s="2"/>
      <c r="X111" s="2"/>
      <c r="Y111" s="2"/>
    </row>
    <row r="112" spans="1:25" ht="12.75" customHeight="1" x14ac:dyDescent="0.25">
      <c r="A112" s="2"/>
      <c r="B112" s="2"/>
      <c r="C112" s="2" t="e">
        <f t="shared" si="7"/>
        <v>#N/A</v>
      </c>
      <c r="D112" s="2"/>
      <c r="E112" s="2"/>
      <c r="F112" s="2"/>
      <c r="G112" s="2"/>
      <c r="H112" s="2"/>
      <c r="I112" s="2"/>
      <c r="J112" s="2"/>
      <c r="K112" s="2"/>
      <c r="L112" s="2"/>
      <c r="M112" s="2"/>
      <c r="N112" s="2"/>
      <c r="O112" s="2"/>
      <c r="P112" s="2"/>
      <c r="Q112" s="2"/>
      <c r="R112" s="2"/>
      <c r="S112" s="2"/>
      <c r="T112" s="2"/>
      <c r="U112" s="2"/>
      <c r="V112" s="2"/>
      <c r="W112" s="2"/>
      <c r="X112" s="2"/>
      <c r="Y112" s="2"/>
    </row>
    <row r="113" spans="1:25" ht="12.75" customHeight="1" x14ac:dyDescent="0.25">
      <c r="A113" s="2"/>
      <c r="B113" s="2"/>
      <c r="C113" s="2" t="e">
        <f t="shared" si="7"/>
        <v>#N/A</v>
      </c>
      <c r="D113" s="2"/>
      <c r="E113" s="2"/>
      <c r="F113" s="2"/>
      <c r="G113" s="2"/>
      <c r="H113" s="2"/>
      <c r="I113" s="2"/>
      <c r="J113" s="2"/>
      <c r="K113" s="2"/>
      <c r="L113" s="2"/>
      <c r="M113" s="2"/>
      <c r="N113" s="2"/>
      <c r="O113" s="2"/>
      <c r="P113" s="2"/>
      <c r="Q113" s="2"/>
      <c r="R113" s="2"/>
      <c r="S113" s="2"/>
      <c r="T113" s="2"/>
      <c r="U113" s="2"/>
      <c r="V113" s="2"/>
      <c r="W113" s="2"/>
      <c r="X113" s="2"/>
      <c r="Y113" s="2"/>
    </row>
    <row r="114" spans="1:25" ht="12.75" customHeight="1" x14ac:dyDescent="0.25">
      <c r="A114" s="2"/>
      <c r="B114" s="2"/>
      <c r="C114" s="2" t="e">
        <f t="shared" si="7"/>
        <v>#N/A</v>
      </c>
      <c r="D114" s="2"/>
      <c r="E114" s="2"/>
      <c r="F114" s="2"/>
      <c r="G114" s="2"/>
      <c r="H114" s="2"/>
      <c r="I114" s="2"/>
      <c r="J114" s="2"/>
      <c r="K114" s="2"/>
      <c r="L114" s="2"/>
      <c r="M114" s="2"/>
      <c r="N114" s="2"/>
      <c r="O114" s="2"/>
      <c r="P114" s="2"/>
      <c r="Q114" s="2"/>
      <c r="R114" s="2"/>
      <c r="S114" s="2"/>
      <c r="T114" s="2"/>
      <c r="U114" s="2"/>
      <c r="V114" s="2"/>
      <c r="W114" s="2"/>
      <c r="X114" s="2"/>
      <c r="Y114" s="2"/>
    </row>
    <row r="115" spans="1:25" ht="12.75" customHeight="1" x14ac:dyDescent="0.25">
      <c r="A115" s="2"/>
      <c r="B115" s="2"/>
      <c r="C115" s="2" t="e">
        <f t="shared" si="7"/>
        <v>#N/A</v>
      </c>
      <c r="D115" s="2"/>
      <c r="E115" s="2"/>
      <c r="F115" s="2"/>
      <c r="G115" s="2"/>
      <c r="H115" s="2"/>
      <c r="I115" s="2"/>
      <c r="J115" s="2"/>
      <c r="K115" s="2"/>
      <c r="L115" s="2"/>
      <c r="M115" s="2"/>
      <c r="N115" s="2"/>
      <c r="O115" s="2"/>
      <c r="P115" s="2"/>
      <c r="Q115" s="2"/>
      <c r="R115" s="2"/>
      <c r="S115" s="2"/>
      <c r="T115" s="2"/>
      <c r="U115" s="2"/>
      <c r="V115" s="2"/>
      <c r="W115" s="2"/>
      <c r="X115" s="2"/>
      <c r="Y115" s="2"/>
    </row>
    <row r="116" spans="1:25" ht="12.75" customHeight="1" x14ac:dyDescent="0.25">
      <c r="A116" s="2"/>
      <c r="B116" s="2"/>
      <c r="C116" s="2" t="e">
        <f t="shared" si="7"/>
        <v>#N/A</v>
      </c>
      <c r="D116" s="2"/>
      <c r="E116" s="2"/>
      <c r="F116" s="2"/>
      <c r="G116" s="2"/>
      <c r="H116" s="2"/>
      <c r="I116" s="2"/>
      <c r="J116" s="2"/>
      <c r="K116" s="2"/>
      <c r="L116" s="2"/>
      <c r="M116" s="2"/>
      <c r="N116" s="2"/>
      <c r="O116" s="2"/>
      <c r="P116" s="2"/>
      <c r="Q116" s="2"/>
      <c r="R116" s="2"/>
      <c r="S116" s="2"/>
      <c r="T116" s="2"/>
      <c r="U116" s="2"/>
      <c r="V116" s="2"/>
      <c r="W116" s="2"/>
      <c r="X116" s="2"/>
      <c r="Y116" s="2"/>
    </row>
    <row r="117" spans="1:25" ht="12.75" customHeight="1" x14ac:dyDescent="0.25">
      <c r="A117" s="2"/>
      <c r="B117" s="2"/>
      <c r="C117" s="2" t="e">
        <f t="shared" si="7"/>
        <v>#N/A</v>
      </c>
      <c r="D117" s="2"/>
      <c r="E117" s="2"/>
      <c r="F117" s="2"/>
      <c r="G117" s="2"/>
      <c r="H117" s="2"/>
      <c r="I117" s="2"/>
      <c r="J117" s="2"/>
      <c r="K117" s="2"/>
      <c r="L117" s="2"/>
      <c r="M117" s="2"/>
      <c r="N117" s="2"/>
      <c r="O117" s="2"/>
      <c r="P117" s="2"/>
      <c r="Q117" s="2"/>
      <c r="R117" s="2"/>
      <c r="S117" s="2"/>
      <c r="T117" s="2"/>
      <c r="U117" s="2"/>
      <c r="V117" s="2"/>
      <c r="W117" s="2"/>
      <c r="X117" s="2"/>
      <c r="Y117" s="2"/>
    </row>
    <row r="118" spans="1:25" ht="12.75" customHeight="1" x14ac:dyDescent="0.25">
      <c r="A118" s="2"/>
      <c r="B118" s="2"/>
      <c r="C118" s="2" t="e">
        <f t="shared" si="7"/>
        <v>#N/A</v>
      </c>
      <c r="D118" s="2"/>
      <c r="E118" s="2"/>
      <c r="F118" s="2"/>
      <c r="G118" s="2"/>
      <c r="H118" s="2"/>
      <c r="I118" s="2"/>
      <c r="J118" s="2"/>
      <c r="K118" s="2"/>
      <c r="L118" s="2"/>
      <c r="M118" s="2"/>
      <c r="N118" s="2"/>
      <c r="O118" s="2"/>
      <c r="P118" s="2"/>
      <c r="Q118" s="2"/>
      <c r="R118" s="2"/>
      <c r="S118" s="2"/>
      <c r="T118" s="2"/>
      <c r="U118" s="2"/>
      <c r="V118" s="2"/>
      <c r="W118" s="2"/>
      <c r="X118" s="2"/>
      <c r="Y118" s="2"/>
    </row>
    <row r="119" spans="1:25" ht="12.75" customHeight="1" x14ac:dyDescent="0.25">
      <c r="A119" s="2"/>
      <c r="B119" s="2"/>
      <c r="C119" s="2" t="e">
        <f t="shared" si="7"/>
        <v>#N/A</v>
      </c>
      <c r="D119" s="2"/>
      <c r="E119" s="2"/>
      <c r="F119" s="2"/>
      <c r="G119" s="2"/>
      <c r="H119" s="2"/>
      <c r="I119" s="2"/>
      <c r="J119" s="2"/>
      <c r="K119" s="2"/>
      <c r="L119" s="2"/>
      <c r="M119" s="2"/>
      <c r="N119" s="2"/>
      <c r="O119" s="2"/>
      <c r="P119" s="2"/>
      <c r="Q119" s="2"/>
      <c r="R119" s="2"/>
      <c r="S119" s="2"/>
      <c r="T119" s="2"/>
      <c r="U119" s="2"/>
      <c r="V119" s="2"/>
      <c r="W119" s="2"/>
      <c r="X119" s="2"/>
      <c r="Y119" s="2"/>
    </row>
    <row r="120" spans="1:25" ht="12.75" customHeight="1" x14ac:dyDescent="0.25">
      <c r="A120" s="2"/>
      <c r="B120" s="2"/>
      <c r="C120" s="2" t="e">
        <f t="shared" si="7"/>
        <v>#N/A</v>
      </c>
      <c r="D120" s="2"/>
      <c r="E120" s="2"/>
      <c r="F120" s="2"/>
      <c r="G120" s="2"/>
      <c r="H120" s="2"/>
      <c r="I120" s="2"/>
      <c r="J120" s="2"/>
      <c r="K120" s="2"/>
      <c r="L120" s="2"/>
      <c r="M120" s="2"/>
      <c r="N120" s="2"/>
      <c r="O120" s="2"/>
      <c r="P120" s="2"/>
      <c r="Q120" s="2"/>
      <c r="R120" s="2"/>
      <c r="S120" s="2"/>
      <c r="T120" s="2"/>
      <c r="U120" s="2"/>
      <c r="V120" s="2"/>
      <c r="W120" s="2"/>
      <c r="X120" s="2"/>
      <c r="Y120" s="2"/>
    </row>
    <row r="121" spans="1:25" ht="12.75" customHeight="1" x14ac:dyDescent="0.25">
      <c r="A121" s="2"/>
      <c r="B121" s="2"/>
      <c r="C121" s="2" t="e">
        <f t="shared" si="7"/>
        <v>#N/A</v>
      </c>
      <c r="D121" s="2"/>
      <c r="E121" s="2"/>
      <c r="F121" s="2"/>
      <c r="G121" s="2"/>
      <c r="H121" s="2"/>
      <c r="I121" s="2"/>
      <c r="J121" s="2"/>
      <c r="K121" s="2"/>
      <c r="L121" s="2"/>
      <c r="M121" s="2"/>
      <c r="N121" s="2"/>
      <c r="O121" s="2"/>
      <c r="P121" s="2"/>
      <c r="Q121" s="2"/>
      <c r="R121" s="2"/>
      <c r="S121" s="2"/>
      <c r="T121" s="2"/>
      <c r="U121" s="2"/>
      <c r="V121" s="2"/>
      <c r="W121" s="2"/>
      <c r="X121" s="2"/>
      <c r="Y121" s="2"/>
    </row>
    <row r="122" spans="1:25" ht="12.75" customHeight="1" x14ac:dyDescent="0.25">
      <c r="A122" s="2"/>
      <c r="B122" s="2"/>
      <c r="C122" s="2" t="e">
        <f t="shared" si="7"/>
        <v>#N/A</v>
      </c>
      <c r="D122" s="2"/>
      <c r="E122" s="2"/>
      <c r="F122" s="2"/>
      <c r="G122" s="2"/>
      <c r="H122" s="2"/>
      <c r="I122" s="2"/>
      <c r="J122" s="2"/>
      <c r="K122" s="2"/>
      <c r="L122" s="2"/>
      <c r="M122" s="2"/>
      <c r="N122" s="2"/>
      <c r="O122" s="2"/>
      <c r="P122" s="2"/>
      <c r="Q122" s="2"/>
      <c r="R122" s="2"/>
      <c r="S122" s="2"/>
      <c r="T122" s="2"/>
      <c r="U122" s="2"/>
      <c r="V122" s="2"/>
      <c r="W122" s="2"/>
      <c r="X122" s="2"/>
      <c r="Y122" s="2"/>
    </row>
    <row r="123" spans="1:25" ht="12.75" customHeight="1" x14ac:dyDescent="0.25">
      <c r="A123" s="2"/>
      <c r="B123" s="2"/>
      <c r="C123" s="2" t="e">
        <f t="shared" si="7"/>
        <v>#N/A</v>
      </c>
      <c r="D123" s="2"/>
      <c r="E123" s="2"/>
      <c r="F123" s="2"/>
      <c r="G123" s="2"/>
      <c r="H123" s="2"/>
      <c r="I123" s="2"/>
      <c r="J123" s="2"/>
      <c r="K123" s="2"/>
      <c r="L123" s="2"/>
      <c r="M123" s="2"/>
      <c r="N123" s="2"/>
      <c r="O123" s="2"/>
      <c r="P123" s="2"/>
      <c r="Q123" s="2"/>
      <c r="R123" s="2"/>
      <c r="S123" s="2"/>
      <c r="T123" s="2"/>
      <c r="U123" s="2"/>
      <c r="V123" s="2"/>
      <c r="W123" s="2"/>
      <c r="X123" s="2"/>
      <c r="Y123" s="2"/>
    </row>
    <row r="124" spans="1:25" ht="12.75" customHeight="1" x14ac:dyDescent="0.25">
      <c r="A124" s="2"/>
      <c r="B124" s="2"/>
      <c r="C124" s="2" t="e">
        <f t="shared" si="7"/>
        <v>#N/A</v>
      </c>
      <c r="D124" s="2"/>
      <c r="E124" s="2"/>
      <c r="F124" s="2"/>
      <c r="G124" s="2"/>
      <c r="H124" s="2"/>
      <c r="I124" s="2"/>
      <c r="J124" s="2"/>
      <c r="K124" s="2"/>
      <c r="L124" s="2"/>
      <c r="M124" s="2"/>
      <c r="N124" s="2"/>
      <c r="O124" s="2"/>
      <c r="P124" s="2"/>
      <c r="Q124" s="2"/>
      <c r="R124" s="2"/>
      <c r="S124" s="2"/>
      <c r="T124" s="2"/>
      <c r="U124" s="2"/>
      <c r="V124" s="2"/>
      <c r="W124" s="2"/>
      <c r="X124" s="2"/>
      <c r="Y124" s="2"/>
    </row>
    <row r="125" spans="1:25" ht="12.75" customHeight="1" x14ac:dyDescent="0.25">
      <c r="A125" s="2"/>
      <c r="B125" s="2"/>
      <c r="C125" s="2" t="e">
        <f t="shared" si="7"/>
        <v>#N/A</v>
      </c>
      <c r="D125" s="2"/>
      <c r="E125" s="2"/>
      <c r="F125" s="2"/>
      <c r="G125" s="2"/>
      <c r="H125" s="2"/>
      <c r="I125" s="2"/>
      <c r="J125" s="2"/>
      <c r="K125" s="2"/>
      <c r="L125" s="2"/>
      <c r="M125" s="2"/>
      <c r="N125" s="2"/>
      <c r="O125" s="2"/>
      <c r="P125" s="2"/>
      <c r="Q125" s="2"/>
      <c r="R125" s="2"/>
      <c r="S125" s="2"/>
      <c r="T125" s="2"/>
      <c r="U125" s="2"/>
      <c r="V125" s="2"/>
      <c r="W125" s="2"/>
      <c r="X125" s="2"/>
      <c r="Y125" s="2"/>
    </row>
    <row r="126" spans="1:25" ht="12.75" customHeight="1" x14ac:dyDescent="0.25">
      <c r="A126" s="2"/>
      <c r="B126" s="2"/>
      <c r="C126" s="2" t="e">
        <f t="shared" si="7"/>
        <v>#N/A</v>
      </c>
      <c r="D126" s="2"/>
      <c r="E126" s="2"/>
      <c r="F126" s="2"/>
      <c r="G126" s="2"/>
      <c r="H126" s="2"/>
      <c r="I126" s="2"/>
      <c r="J126" s="2"/>
      <c r="K126" s="2"/>
      <c r="L126" s="2"/>
      <c r="M126" s="2"/>
      <c r="N126" s="2"/>
      <c r="O126" s="2"/>
      <c r="P126" s="2"/>
      <c r="Q126" s="2"/>
      <c r="R126" s="2"/>
      <c r="S126" s="2"/>
      <c r="T126" s="2"/>
      <c r="U126" s="2"/>
      <c r="V126" s="2"/>
      <c r="W126" s="2"/>
      <c r="X126" s="2"/>
      <c r="Y126" s="2"/>
    </row>
    <row r="127" spans="1:25" ht="12.75" customHeight="1" x14ac:dyDescent="0.25">
      <c r="A127" s="2"/>
      <c r="B127" s="2"/>
      <c r="C127" s="2" t="e">
        <f t="shared" si="7"/>
        <v>#N/A</v>
      </c>
      <c r="D127" s="2"/>
      <c r="E127" s="2"/>
      <c r="F127" s="2"/>
      <c r="G127" s="2"/>
      <c r="H127" s="2"/>
      <c r="I127" s="2"/>
      <c r="J127" s="2"/>
      <c r="K127" s="2"/>
      <c r="L127" s="2"/>
      <c r="M127" s="2"/>
      <c r="N127" s="2"/>
      <c r="O127" s="2"/>
      <c r="P127" s="2"/>
      <c r="Q127" s="2"/>
      <c r="R127" s="2"/>
      <c r="S127" s="2"/>
      <c r="T127" s="2"/>
      <c r="U127" s="2"/>
      <c r="V127" s="2"/>
      <c r="W127" s="2"/>
      <c r="X127" s="2"/>
      <c r="Y127" s="2"/>
    </row>
    <row r="128" spans="1:25" ht="12.75" customHeight="1" x14ac:dyDescent="0.25">
      <c r="A128" s="2"/>
      <c r="B128" s="2"/>
      <c r="C128" s="2" t="e">
        <f t="shared" si="7"/>
        <v>#N/A</v>
      </c>
      <c r="D128" s="2"/>
      <c r="E128" s="2"/>
      <c r="F128" s="2"/>
      <c r="G128" s="2"/>
      <c r="H128" s="2"/>
      <c r="I128" s="2"/>
      <c r="J128" s="2"/>
      <c r="K128" s="2"/>
      <c r="L128" s="2"/>
      <c r="M128" s="2"/>
      <c r="N128" s="2"/>
      <c r="O128" s="2"/>
      <c r="P128" s="2"/>
      <c r="Q128" s="2"/>
      <c r="R128" s="2"/>
      <c r="S128" s="2"/>
      <c r="T128" s="2"/>
      <c r="U128" s="2"/>
      <c r="V128" s="2"/>
      <c r="W128" s="2"/>
      <c r="X128" s="2"/>
      <c r="Y128" s="2"/>
    </row>
    <row r="129" spans="1:25" ht="12.75" customHeight="1" x14ac:dyDescent="0.25">
      <c r="A129" s="2"/>
      <c r="B129" s="2"/>
      <c r="C129" s="2" t="e">
        <f t="shared" si="7"/>
        <v>#N/A</v>
      </c>
      <c r="D129" s="2"/>
      <c r="E129" s="2"/>
      <c r="F129" s="2"/>
      <c r="G129" s="2"/>
      <c r="H129" s="2"/>
      <c r="I129" s="2"/>
      <c r="J129" s="2"/>
      <c r="K129" s="2"/>
      <c r="L129" s="2"/>
      <c r="M129" s="2"/>
      <c r="N129" s="2"/>
      <c r="O129" s="2"/>
      <c r="P129" s="2"/>
      <c r="Q129" s="2"/>
      <c r="R129" s="2"/>
      <c r="S129" s="2"/>
      <c r="T129" s="2"/>
      <c r="U129" s="2"/>
      <c r="V129" s="2"/>
      <c r="W129" s="2"/>
      <c r="X129" s="2"/>
      <c r="Y129" s="2"/>
    </row>
    <row r="130" spans="1:25" ht="12.75" customHeight="1" x14ac:dyDescent="0.25">
      <c r="A130" s="2"/>
      <c r="B130" s="2"/>
      <c r="C130" s="2" t="e">
        <f t="shared" si="7"/>
        <v>#N/A</v>
      </c>
      <c r="D130" s="2"/>
      <c r="E130" s="2"/>
      <c r="F130" s="2"/>
      <c r="G130" s="2"/>
      <c r="H130" s="2"/>
      <c r="I130" s="2"/>
      <c r="J130" s="2"/>
      <c r="K130" s="2"/>
      <c r="L130" s="2"/>
      <c r="M130" s="2"/>
      <c r="N130" s="2"/>
      <c r="O130" s="2"/>
      <c r="P130" s="2"/>
      <c r="Q130" s="2"/>
      <c r="R130" s="2"/>
      <c r="S130" s="2"/>
      <c r="T130" s="2"/>
      <c r="U130" s="2"/>
      <c r="V130" s="2"/>
      <c r="W130" s="2"/>
      <c r="X130" s="2"/>
      <c r="Y130" s="2"/>
    </row>
    <row r="131" spans="1:25" ht="12.75" customHeight="1" x14ac:dyDescent="0.25">
      <c r="A131" s="2"/>
      <c r="B131" s="2"/>
      <c r="C131" s="2" t="e">
        <f t="shared" si="7"/>
        <v>#N/A</v>
      </c>
      <c r="D131" s="2"/>
      <c r="E131" s="2"/>
      <c r="F131" s="2"/>
      <c r="G131" s="2"/>
      <c r="H131" s="2"/>
      <c r="I131" s="2"/>
      <c r="J131" s="2"/>
      <c r="K131" s="2"/>
      <c r="L131" s="2"/>
      <c r="M131" s="2"/>
      <c r="N131" s="2"/>
      <c r="O131" s="2"/>
      <c r="P131" s="2"/>
      <c r="Q131" s="2"/>
      <c r="R131" s="2"/>
      <c r="S131" s="2"/>
      <c r="T131" s="2"/>
      <c r="U131" s="2"/>
      <c r="V131" s="2"/>
      <c r="W131" s="2"/>
      <c r="X131" s="2"/>
      <c r="Y131" s="2"/>
    </row>
    <row r="132" spans="1:25" ht="12.75" customHeight="1" x14ac:dyDescent="0.25">
      <c r="A132" s="2"/>
      <c r="B132" s="2"/>
      <c r="C132" s="2" t="e">
        <f t="shared" si="7"/>
        <v>#N/A</v>
      </c>
      <c r="D132" s="2"/>
      <c r="E132" s="2"/>
      <c r="F132" s="2"/>
      <c r="G132" s="2"/>
      <c r="H132" s="2"/>
      <c r="I132" s="2"/>
      <c r="J132" s="2"/>
      <c r="K132" s="2"/>
      <c r="L132" s="2"/>
      <c r="M132" s="2"/>
      <c r="N132" s="2"/>
      <c r="O132" s="2"/>
      <c r="P132" s="2"/>
      <c r="Q132" s="2"/>
      <c r="R132" s="2"/>
      <c r="S132" s="2"/>
      <c r="T132" s="2"/>
      <c r="U132" s="2"/>
      <c r="V132" s="2"/>
      <c r="W132" s="2"/>
      <c r="X132" s="2"/>
      <c r="Y132" s="2"/>
    </row>
    <row r="133" spans="1:25" ht="12.75" customHeight="1" x14ac:dyDescent="0.25">
      <c r="A133" s="2"/>
      <c r="B133" s="2"/>
      <c r="C133" s="2" t="e">
        <f t="shared" si="7"/>
        <v>#N/A</v>
      </c>
      <c r="D133" s="2"/>
      <c r="E133" s="2"/>
      <c r="F133" s="2"/>
      <c r="G133" s="2"/>
      <c r="H133" s="2"/>
      <c r="I133" s="2"/>
      <c r="J133" s="2"/>
      <c r="K133" s="2"/>
      <c r="L133" s="2"/>
      <c r="M133" s="2"/>
      <c r="N133" s="2"/>
      <c r="O133" s="2"/>
      <c r="P133" s="2"/>
      <c r="Q133" s="2"/>
      <c r="R133" s="2"/>
      <c r="S133" s="2"/>
      <c r="T133" s="2"/>
      <c r="U133" s="2"/>
      <c r="V133" s="2"/>
      <c r="W133" s="2"/>
      <c r="X133" s="2"/>
      <c r="Y133" s="2"/>
    </row>
    <row r="134" spans="1:25" ht="12.75" customHeight="1" x14ac:dyDescent="0.25">
      <c r="A134" s="2"/>
      <c r="B134" s="2"/>
      <c r="C134" s="2" t="e">
        <f t="shared" si="7"/>
        <v>#N/A</v>
      </c>
      <c r="D134" s="2"/>
      <c r="E134" s="2"/>
      <c r="F134" s="2"/>
      <c r="G134" s="2"/>
      <c r="H134" s="2"/>
      <c r="I134" s="2"/>
      <c r="J134" s="2"/>
      <c r="K134" s="2"/>
      <c r="L134" s="2"/>
      <c r="M134" s="2"/>
      <c r="N134" s="2"/>
      <c r="O134" s="2"/>
      <c r="P134" s="2"/>
      <c r="Q134" s="2"/>
      <c r="R134" s="2"/>
      <c r="S134" s="2"/>
      <c r="T134" s="2"/>
      <c r="U134" s="2"/>
      <c r="V134" s="2"/>
      <c r="W134" s="2"/>
      <c r="X134" s="2"/>
      <c r="Y134" s="2"/>
    </row>
    <row r="135" spans="1:25" ht="12.75" customHeight="1" x14ac:dyDescent="0.25">
      <c r="A135" s="2"/>
      <c r="B135" s="2"/>
      <c r="C135" s="2" t="e">
        <f t="shared" si="7"/>
        <v>#N/A</v>
      </c>
      <c r="D135" s="2"/>
      <c r="E135" s="2"/>
      <c r="F135" s="2"/>
      <c r="G135" s="2"/>
      <c r="H135" s="2"/>
      <c r="I135" s="2"/>
      <c r="J135" s="2"/>
      <c r="K135" s="2"/>
      <c r="L135" s="2"/>
      <c r="M135" s="2"/>
      <c r="N135" s="2"/>
      <c r="O135" s="2"/>
      <c r="P135" s="2"/>
      <c r="Q135" s="2"/>
      <c r="R135" s="2"/>
      <c r="S135" s="2"/>
      <c r="T135" s="2"/>
      <c r="U135" s="2"/>
      <c r="V135" s="2"/>
      <c r="W135" s="2"/>
      <c r="X135" s="2"/>
      <c r="Y135" s="2"/>
    </row>
    <row r="136" spans="1:25" ht="12.75" customHeight="1" x14ac:dyDescent="0.25">
      <c r="A136" s="2"/>
      <c r="B136" s="2"/>
      <c r="C136" s="2" t="e">
        <f t="shared" si="7"/>
        <v>#N/A</v>
      </c>
      <c r="D136" s="2"/>
      <c r="E136" s="2"/>
      <c r="F136" s="2"/>
      <c r="G136" s="2"/>
      <c r="H136" s="2"/>
      <c r="I136" s="2"/>
      <c r="J136" s="2"/>
      <c r="K136" s="2"/>
      <c r="L136" s="2"/>
      <c r="M136" s="2"/>
      <c r="N136" s="2"/>
      <c r="O136" s="2"/>
      <c r="P136" s="2"/>
      <c r="Q136" s="2"/>
      <c r="R136" s="2"/>
      <c r="S136" s="2"/>
      <c r="T136" s="2"/>
      <c r="U136" s="2"/>
      <c r="V136" s="2"/>
      <c r="W136" s="2"/>
      <c r="X136" s="2"/>
      <c r="Y136" s="2"/>
    </row>
    <row r="137" spans="1:25" ht="12.75" customHeight="1" x14ac:dyDescent="0.25">
      <c r="A137" s="2"/>
      <c r="B137" s="2"/>
      <c r="C137" s="2" t="e">
        <f t="shared" si="7"/>
        <v>#N/A</v>
      </c>
      <c r="D137" s="2"/>
      <c r="E137" s="2"/>
      <c r="F137" s="2"/>
      <c r="G137" s="2"/>
      <c r="H137" s="2"/>
      <c r="I137" s="2"/>
      <c r="J137" s="2"/>
      <c r="K137" s="2"/>
      <c r="L137" s="2"/>
      <c r="M137" s="2"/>
      <c r="N137" s="2"/>
      <c r="O137" s="2"/>
      <c r="P137" s="2"/>
      <c r="Q137" s="2"/>
      <c r="R137" s="2"/>
      <c r="S137" s="2"/>
      <c r="T137" s="2"/>
      <c r="U137" s="2"/>
      <c r="V137" s="2"/>
      <c r="W137" s="2"/>
      <c r="X137" s="2"/>
      <c r="Y137" s="2"/>
    </row>
    <row r="138" spans="1:25" ht="12.75" customHeight="1" x14ac:dyDescent="0.25">
      <c r="A138" s="2"/>
      <c r="B138" s="2"/>
      <c r="C138" s="2" t="e">
        <f t="shared" si="7"/>
        <v>#N/A</v>
      </c>
      <c r="D138" s="2"/>
      <c r="E138" s="2"/>
      <c r="F138" s="2"/>
      <c r="G138" s="2"/>
      <c r="H138" s="2"/>
      <c r="I138" s="2"/>
      <c r="J138" s="2"/>
      <c r="K138" s="2"/>
      <c r="L138" s="2"/>
      <c r="M138" s="2"/>
      <c r="N138" s="2"/>
      <c r="O138" s="2"/>
      <c r="P138" s="2"/>
      <c r="Q138" s="2"/>
      <c r="R138" s="2"/>
      <c r="S138" s="2"/>
      <c r="T138" s="2"/>
      <c r="U138" s="2"/>
      <c r="V138" s="2"/>
      <c r="W138" s="2"/>
      <c r="X138" s="2"/>
      <c r="Y138" s="2"/>
    </row>
    <row r="139" spans="1:25" ht="12.75" customHeight="1" x14ac:dyDescent="0.25">
      <c r="A139" s="2"/>
      <c r="B139" s="2"/>
      <c r="C139" s="2" t="e">
        <f t="shared" si="7"/>
        <v>#N/A</v>
      </c>
      <c r="D139" s="2"/>
      <c r="E139" s="2"/>
      <c r="F139" s="2"/>
      <c r="G139" s="2"/>
      <c r="H139" s="2"/>
      <c r="I139" s="2"/>
      <c r="J139" s="2"/>
      <c r="K139" s="2"/>
      <c r="L139" s="2"/>
      <c r="M139" s="2"/>
      <c r="N139" s="2"/>
      <c r="O139" s="2"/>
      <c r="P139" s="2"/>
      <c r="Q139" s="2"/>
      <c r="R139" s="2"/>
      <c r="S139" s="2"/>
      <c r="T139" s="2"/>
      <c r="U139" s="2"/>
      <c r="V139" s="2"/>
      <c r="W139" s="2"/>
      <c r="X139" s="2"/>
      <c r="Y139" s="2"/>
    </row>
    <row r="140" spans="1:25" ht="12.75" customHeight="1" x14ac:dyDescent="0.25">
      <c r="A140" s="2"/>
      <c r="B140" s="2"/>
      <c r="C140" s="2" t="e">
        <f t="shared" si="7"/>
        <v>#N/A</v>
      </c>
      <c r="D140" s="2"/>
      <c r="E140" s="2"/>
      <c r="F140" s="2"/>
      <c r="G140" s="2"/>
      <c r="H140" s="2"/>
      <c r="I140" s="2"/>
      <c r="J140" s="2"/>
      <c r="K140" s="2"/>
      <c r="L140" s="2"/>
      <c r="M140" s="2"/>
      <c r="N140" s="2"/>
      <c r="O140" s="2"/>
      <c r="P140" s="2"/>
      <c r="Q140" s="2"/>
      <c r="R140" s="2"/>
      <c r="S140" s="2"/>
      <c r="T140" s="2"/>
      <c r="U140" s="2"/>
      <c r="V140" s="2"/>
      <c r="W140" s="2"/>
      <c r="X140" s="2"/>
      <c r="Y140" s="2"/>
    </row>
    <row r="141" spans="1:25" ht="12.75" customHeight="1" x14ac:dyDescent="0.25">
      <c r="A141" s="2"/>
      <c r="B141" s="2"/>
      <c r="C141" s="2" t="e">
        <f t="shared" si="7"/>
        <v>#N/A</v>
      </c>
      <c r="D141" s="2"/>
      <c r="E141" s="2"/>
      <c r="F141" s="2"/>
      <c r="G141" s="2"/>
      <c r="H141" s="2"/>
      <c r="I141" s="2"/>
      <c r="J141" s="2"/>
      <c r="K141" s="2"/>
      <c r="L141" s="2"/>
      <c r="M141" s="2"/>
      <c r="N141" s="2"/>
      <c r="O141" s="2"/>
      <c r="P141" s="2"/>
      <c r="Q141" s="2"/>
      <c r="R141" s="2"/>
      <c r="S141" s="2"/>
      <c r="T141" s="2"/>
      <c r="U141" s="2"/>
      <c r="V141" s="2"/>
      <c r="W141" s="2"/>
      <c r="X141" s="2"/>
      <c r="Y141" s="2"/>
    </row>
    <row r="142" spans="1:25" ht="12.75" customHeight="1" x14ac:dyDescent="0.25">
      <c r="A142" s="2"/>
      <c r="B142" s="2"/>
      <c r="C142" s="2" t="e">
        <f t="shared" si="7"/>
        <v>#N/A</v>
      </c>
      <c r="D142" s="2"/>
      <c r="E142" s="2"/>
      <c r="F142" s="2"/>
      <c r="G142" s="2"/>
      <c r="H142" s="2"/>
      <c r="I142" s="2"/>
      <c r="J142" s="2"/>
      <c r="K142" s="2"/>
      <c r="L142" s="2"/>
      <c r="M142" s="2"/>
      <c r="N142" s="2"/>
      <c r="O142" s="2"/>
      <c r="P142" s="2"/>
      <c r="Q142" s="2"/>
      <c r="R142" s="2"/>
      <c r="S142" s="2"/>
      <c r="T142" s="2"/>
      <c r="U142" s="2"/>
      <c r="V142" s="2"/>
      <c r="W142" s="2"/>
      <c r="X142" s="2"/>
      <c r="Y142" s="2"/>
    </row>
    <row r="143" spans="1:25" ht="12.75" customHeight="1" x14ac:dyDescent="0.25">
      <c r="A143" s="2"/>
      <c r="B143" s="2"/>
      <c r="C143" s="2" t="e">
        <f t="shared" si="7"/>
        <v>#N/A</v>
      </c>
      <c r="D143" s="2"/>
      <c r="E143" s="2"/>
      <c r="F143" s="2"/>
      <c r="G143" s="2"/>
      <c r="H143" s="2"/>
      <c r="I143" s="2"/>
      <c r="J143" s="2"/>
      <c r="K143" s="2"/>
      <c r="L143" s="2"/>
      <c r="M143" s="2"/>
      <c r="N143" s="2"/>
      <c r="O143" s="2"/>
      <c r="P143" s="2"/>
      <c r="Q143" s="2"/>
      <c r="R143" s="2"/>
      <c r="S143" s="2"/>
      <c r="T143" s="2"/>
      <c r="U143" s="2"/>
      <c r="V143" s="2"/>
      <c r="W143" s="2"/>
      <c r="X143" s="2"/>
      <c r="Y143" s="2"/>
    </row>
    <row r="144" spans="1:25" ht="12.75" customHeight="1" x14ac:dyDescent="0.25">
      <c r="A144" s="2"/>
      <c r="B144" s="2"/>
      <c r="C144" s="2" t="e">
        <f t="shared" si="7"/>
        <v>#N/A</v>
      </c>
      <c r="D144" s="2"/>
      <c r="E144" s="2"/>
      <c r="F144" s="2"/>
      <c r="G144" s="2"/>
      <c r="H144" s="2"/>
      <c r="I144" s="2"/>
      <c r="J144" s="2"/>
      <c r="K144" s="2"/>
      <c r="L144" s="2"/>
      <c r="M144" s="2"/>
      <c r="N144" s="2"/>
      <c r="O144" s="2"/>
      <c r="P144" s="2"/>
      <c r="Q144" s="2"/>
      <c r="R144" s="2"/>
      <c r="S144" s="2"/>
      <c r="T144" s="2"/>
      <c r="U144" s="2"/>
      <c r="V144" s="2"/>
      <c r="W144" s="2"/>
      <c r="X144" s="2"/>
      <c r="Y144" s="2"/>
    </row>
    <row r="145" spans="1:25" ht="12.75" customHeight="1" x14ac:dyDescent="0.25">
      <c r="A145" s="2"/>
      <c r="B145" s="2"/>
      <c r="C145" s="2" t="e">
        <f t="shared" si="7"/>
        <v>#N/A</v>
      </c>
      <c r="D145" s="2"/>
      <c r="E145" s="2"/>
      <c r="F145" s="2"/>
      <c r="G145" s="2"/>
      <c r="H145" s="2"/>
      <c r="I145" s="2"/>
      <c r="J145" s="2"/>
      <c r="K145" s="2"/>
      <c r="L145" s="2"/>
      <c r="M145" s="2"/>
      <c r="N145" s="2"/>
      <c r="O145" s="2"/>
      <c r="P145" s="2"/>
      <c r="Q145" s="2"/>
      <c r="R145" s="2"/>
      <c r="S145" s="2"/>
      <c r="T145" s="2"/>
      <c r="U145" s="2"/>
      <c r="V145" s="2"/>
      <c r="W145" s="2"/>
      <c r="X145" s="2"/>
      <c r="Y145" s="2"/>
    </row>
    <row r="146" spans="1:25" ht="12.75" customHeight="1" x14ac:dyDescent="0.25">
      <c r="A146" s="2"/>
      <c r="B146" s="2"/>
      <c r="C146" s="2" t="e">
        <f t="shared" si="7"/>
        <v>#N/A</v>
      </c>
      <c r="D146" s="2"/>
      <c r="E146" s="2"/>
      <c r="F146" s="2"/>
      <c r="G146" s="2"/>
      <c r="H146" s="2"/>
      <c r="I146" s="2"/>
      <c r="J146" s="2"/>
      <c r="K146" s="2"/>
      <c r="L146" s="2"/>
      <c r="M146" s="2"/>
      <c r="N146" s="2"/>
      <c r="O146" s="2"/>
      <c r="P146" s="2"/>
      <c r="Q146" s="2"/>
      <c r="R146" s="2"/>
      <c r="S146" s="2"/>
      <c r="T146" s="2"/>
      <c r="U146" s="2"/>
      <c r="V146" s="2"/>
      <c r="W146" s="2"/>
      <c r="X146" s="2"/>
      <c r="Y146" s="2"/>
    </row>
    <row r="147" spans="1:25" ht="12.75" customHeight="1" x14ac:dyDescent="0.25">
      <c r="A147" s="2"/>
      <c r="B147" s="2"/>
      <c r="C147" s="2" t="e">
        <f t="shared" si="7"/>
        <v>#N/A</v>
      </c>
      <c r="D147" s="2"/>
      <c r="E147" s="2"/>
      <c r="F147" s="2"/>
      <c r="G147" s="2"/>
      <c r="H147" s="2"/>
      <c r="I147" s="2"/>
      <c r="J147" s="2"/>
      <c r="K147" s="2"/>
      <c r="L147" s="2"/>
      <c r="M147" s="2"/>
      <c r="N147" s="2"/>
      <c r="O147" s="2"/>
      <c r="P147" s="2"/>
      <c r="Q147" s="2"/>
      <c r="R147" s="2"/>
      <c r="S147" s="2"/>
      <c r="T147" s="2"/>
      <c r="U147" s="2"/>
      <c r="V147" s="2"/>
      <c r="W147" s="2"/>
      <c r="X147" s="2"/>
      <c r="Y147" s="2"/>
    </row>
    <row r="148" spans="1:25"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2" width="16.42578125" customWidth="1"/>
    <col min="3" max="3" width="24.7109375" customWidth="1"/>
    <col min="4" max="4" width="23.140625" customWidth="1"/>
    <col min="5" max="5" width="16.42578125" customWidth="1"/>
    <col min="6" max="6" width="25.28515625" customWidth="1"/>
    <col min="7" max="7" width="19.85546875" customWidth="1"/>
    <col min="8" max="9" width="16.42578125" customWidth="1"/>
    <col min="10" max="10" width="21" customWidth="1"/>
    <col min="11" max="11" width="25.7109375" customWidth="1"/>
    <col min="12" max="12" width="28.42578125" customWidth="1"/>
    <col min="13" max="13" width="16.42578125" customWidth="1"/>
    <col min="14" max="14" width="31.42578125" customWidth="1"/>
    <col min="15" max="15" width="25" customWidth="1"/>
    <col min="16" max="17" width="16.42578125" customWidth="1"/>
    <col min="18" max="18" width="17.7109375" customWidth="1"/>
    <col min="19" max="19" width="16.42578125" customWidth="1"/>
    <col min="20" max="20" width="21.28515625" customWidth="1"/>
    <col min="21" max="21" width="31" customWidth="1"/>
    <col min="22" max="26" width="8.7109375" customWidth="1"/>
  </cols>
  <sheetData>
    <row r="1" spans="1:26" ht="66" customHeight="1" x14ac:dyDescent="0.25">
      <c r="A1" s="37" t="s">
        <v>0</v>
      </c>
      <c r="B1" s="38" t="s">
        <v>10</v>
      </c>
      <c r="C1" s="37" t="s">
        <v>212</v>
      </c>
      <c r="D1" s="37" t="s">
        <v>213</v>
      </c>
      <c r="E1" s="37" t="s">
        <v>214</v>
      </c>
      <c r="F1" s="37" t="s">
        <v>215</v>
      </c>
      <c r="G1" s="37" t="s">
        <v>216</v>
      </c>
      <c r="H1" s="37" t="s">
        <v>217</v>
      </c>
      <c r="I1" s="37" t="s">
        <v>218</v>
      </c>
      <c r="J1" s="37" t="s">
        <v>219</v>
      </c>
      <c r="K1" s="37" t="s">
        <v>220</v>
      </c>
      <c r="L1" s="37" t="s">
        <v>221</v>
      </c>
      <c r="M1" s="37" t="s">
        <v>222</v>
      </c>
      <c r="N1" s="37" t="s">
        <v>223</v>
      </c>
      <c r="O1" s="37" t="s">
        <v>224</v>
      </c>
      <c r="P1" s="37" t="s">
        <v>225</v>
      </c>
      <c r="Q1" s="37" t="s">
        <v>226</v>
      </c>
      <c r="R1" s="37" t="s">
        <v>227</v>
      </c>
      <c r="S1" s="37" t="s">
        <v>228</v>
      </c>
      <c r="T1" s="37" t="s">
        <v>229</v>
      </c>
      <c r="U1" s="1" t="s">
        <v>13</v>
      </c>
      <c r="V1" s="2"/>
      <c r="W1" s="2"/>
      <c r="X1" s="2"/>
      <c r="Y1" s="2"/>
      <c r="Z1" s="2"/>
    </row>
    <row r="2" spans="1:26" ht="12.75" customHeight="1" x14ac:dyDescent="0.25">
      <c r="A2" s="2" t="s">
        <v>14</v>
      </c>
      <c r="B2" s="26">
        <v>6.3097176551818848</v>
      </c>
      <c r="C2" s="21">
        <v>0.23333333432674408</v>
      </c>
      <c r="D2" s="21">
        <v>0.875</v>
      </c>
      <c r="E2" s="21">
        <v>0.49152541160583496</v>
      </c>
      <c r="F2" s="21">
        <v>0.36974790692329407</v>
      </c>
      <c r="G2" s="21">
        <v>0.88983052968978882</v>
      </c>
      <c r="H2" s="21">
        <v>0.78151261806488037</v>
      </c>
      <c r="I2" s="21">
        <v>0.79661017656326294</v>
      </c>
      <c r="J2" s="21">
        <v>0.78448277711868286</v>
      </c>
      <c r="K2" s="21">
        <v>0.76377952098846436</v>
      </c>
      <c r="L2" s="21">
        <v>0.76377952098846436</v>
      </c>
      <c r="M2" s="21">
        <v>0.85470086336135864</v>
      </c>
      <c r="N2" s="19">
        <v>3.1073994636535645</v>
      </c>
      <c r="O2" s="21">
        <v>0.97560977935791016</v>
      </c>
      <c r="P2" s="21">
        <v>0.89560437202453613</v>
      </c>
      <c r="Q2" s="21">
        <v>0.75590550899505615</v>
      </c>
      <c r="R2" s="21">
        <v>0.16535432636737823</v>
      </c>
      <c r="S2" s="21">
        <v>0.25196850299835205</v>
      </c>
      <c r="T2" s="21">
        <v>2.380952425301075E-2</v>
      </c>
      <c r="U2" s="2" t="s">
        <v>15</v>
      </c>
      <c r="V2" s="2"/>
      <c r="W2" s="2"/>
      <c r="X2" s="2"/>
      <c r="Y2" s="2"/>
      <c r="Z2" s="2"/>
    </row>
    <row r="3" spans="1:26" ht="12.75" customHeight="1" x14ac:dyDescent="0.25">
      <c r="A3" s="2" t="s">
        <v>29</v>
      </c>
      <c r="B3" s="26">
        <v>8.2521228790283203</v>
      </c>
      <c r="C3" s="21">
        <v>0.65079367160797119</v>
      </c>
      <c r="D3" s="21">
        <v>0.90839695930480957</v>
      </c>
      <c r="E3" s="21">
        <v>0.70676690340042114</v>
      </c>
      <c r="F3" s="21">
        <v>0.65573769807815552</v>
      </c>
      <c r="G3" s="21">
        <v>0.89147287607192993</v>
      </c>
      <c r="H3" s="21">
        <v>0.87596899271011353</v>
      </c>
      <c r="I3" s="21">
        <v>0.89230769872665405</v>
      </c>
      <c r="J3" s="21">
        <v>0.953125</v>
      </c>
      <c r="K3" s="21">
        <v>0.84558820724487305</v>
      </c>
      <c r="L3" s="21">
        <v>0.80882352590560913</v>
      </c>
      <c r="M3" s="21">
        <v>0.93076920509338379</v>
      </c>
      <c r="N3" s="19">
        <v>2.1066277027130127</v>
      </c>
      <c r="O3" s="21">
        <v>0.99236643314361572</v>
      </c>
      <c r="P3" s="21">
        <v>0.73775213956832886</v>
      </c>
      <c r="Q3" s="21">
        <v>0.81203007698059082</v>
      </c>
      <c r="R3" s="21">
        <v>4.444444552063942E-2</v>
      </c>
      <c r="S3" s="21">
        <v>0.875</v>
      </c>
      <c r="T3" s="21">
        <v>7.6335878111422062E-3</v>
      </c>
      <c r="U3" s="2" t="s">
        <v>24</v>
      </c>
      <c r="V3" s="2"/>
      <c r="W3" s="2"/>
      <c r="X3" s="2"/>
      <c r="Y3" s="2"/>
      <c r="Z3" s="2"/>
    </row>
    <row r="4" spans="1:26" ht="12.75" customHeight="1" x14ac:dyDescent="0.25">
      <c r="A4" s="2" t="s">
        <v>17</v>
      </c>
      <c r="B4" s="26">
        <v>7.9154953956604004</v>
      </c>
      <c r="C4" s="21">
        <v>0.64122134447097778</v>
      </c>
      <c r="D4" s="21">
        <v>0.91538459062576294</v>
      </c>
      <c r="E4" s="21">
        <v>0.58646619319915771</v>
      </c>
      <c r="F4" s="21">
        <v>0.75384616851806641</v>
      </c>
      <c r="G4" s="21">
        <v>0.8984375</v>
      </c>
      <c r="H4" s="21">
        <v>0.90697675943374634</v>
      </c>
      <c r="I4" s="21">
        <v>0.76923078298568726</v>
      </c>
      <c r="J4" s="21">
        <v>0.95348834991455078</v>
      </c>
      <c r="K4" s="21">
        <v>0.8796992301940918</v>
      </c>
      <c r="L4" s="21">
        <v>0.8571428656578064</v>
      </c>
      <c r="M4" s="21">
        <v>0.8671875</v>
      </c>
      <c r="N4" s="19">
        <v>1.5843857526779175</v>
      </c>
      <c r="O4" s="21">
        <v>0.82634729146957397</v>
      </c>
      <c r="P4" s="21">
        <v>0.8864864706993103</v>
      </c>
      <c r="Q4" s="21">
        <v>0.8796992301940918</v>
      </c>
      <c r="R4" s="21">
        <v>5.2631579339504242E-2</v>
      </c>
      <c r="S4" s="21">
        <v>0.68421053886413574</v>
      </c>
      <c r="T4" s="21">
        <v>2.255639061331749E-2</v>
      </c>
      <c r="U4" s="2" t="s">
        <v>18</v>
      </c>
      <c r="V4" s="2"/>
      <c r="W4" s="2"/>
      <c r="X4" s="2"/>
      <c r="Y4" s="2"/>
      <c r="Z4" s="2"/>
    </row>
    <row r="5" spans="1:26" ht="12.75" customHeight="1" x14ac:dyDescent="0.25">
      <c r="A5" s="2" t="s">
        <v>19</v>
      </c>
      <c r="B5" s="26">
        <v>7.6647939682006836</v>
      </c>
      <c r="C5" s="21">
        <v>0.5128205418586731</v>
      </c>
      <c r="D5" s="21">
        <v>0.81012660264968872</v>
      </c>
      <c r="E5" s="21">
        <v>0.60000002384185791</v>
      </c>
      <c r="F5" s="21">
        <v>0.56962025165557861</v>
      </c>
      <c r="G5" s="21">
        <v>0.85135138034820557</v>
      </c>
      <c r="H5" s="21">
        <v>0.85333335399627686</v>
      </c>
      <c r="I5" s="21">
        <v>0.85526317358016968</v>
      </c>
      <c r="J5" s="21">
        <v>0.9189189076423645</v>
      </c>
      <c r="K5" s="21">
        <v>0.8125</v>
      </c>
      <c r="L5" s="21">
        <v>0.78750002384185791</v>
      </c>
      <c r="M5" s="21">
        <v>0.87999999523162842</v>
      </c>
      <c r="N5" s="19">
        <v>1.6107382774353027</v>
      </c>
      <c r="O5" s="21">
        <v>0.80000001192092896</v>
      </c>
      <c r="P5" s="21">
        <v>0.83333331346511841</v>
      </c>
      <c r="Q5" s="21">
        <v>0.89873415231704712</v>
      </c>
      <c r="R5" s="21">
        <v>7.594936341047287E-2</v>
      </c>
      <c r="S5" s="21">
        <v>0.96249997615814209</v>
      </c>
      <c r="T5" s="21">
        <v>0</v>
      </c>
      <c r="U5" s="2" t="s">
        <v>18</v>
      </c>
      <c r="V5" s="2"/>
      <c r="W5" s="2"/>
      <c r="X5" s="2"/>
      <c r="Y5" s="2"/>
      <c r="Z5" s="2"/>
    </row>
    <row r="6" spans="1:26" ht="12.75" customHeight="1" x14ac:dyDescent="0.25">
      <c r="A6" s="2" t="s">
        <v>16</v>
      </c>
      <c r="B6" s="26">
        <v>7.7159223556518555</v>
      </c>
      <c r="C6" s="21">
        <v>0.69696968793869019</v>
      </c>
      <c r="D6" s="21">
        <v>0.9175257682800293</v>
      </c>
      <c r="E6" s="21">
        <v>0.32323232293128967</v>
      </c>
      <c r="F6" s="21">
        <v>0.73469388484954834</v>
      </c>
      <c r="G6" s="21">
        <v>0.91836732625961304</v>
      </c>
      <c r="H6" s="21">
        <v>0.90816324949264526</v>
      </c>
      <c r="I6" s="21">
        <v>0.89795917272567749</v>
      </c>
      <c r="J6" s="21">
        <v>0.89690721035003662</v>
      </c>
      <c r="K6" s="21">
        <v>0.89999997615814209</v>
      </c>
      <c r="L6" s="21">
        <v>0.89999997615814209</v>
      </c>
      <c r="M6" s="21">
        <v>0.90816324949264526</v>
      </c>
      <c r="N6" s="19">
        <v>3.359173059463501</v>
      </c>
      <c r="O6" s="21">
        <v>0.92857140302658081</v>
      </c>
      <c r="P6" s="21">
        <v>0.85555553436279297</v>
      </c>
      <c r="Q6" s="21">
        <v>0.86000001430511475</v>
      </c>
      <c r="R6" s="21">
        <v>0.10101009905338287</v>
      </c>
      <c r="S6" s="21">
        <v>0.85000002384185791</v>
      </c>
      <c r="T6" s="21">
        <v>7.0000000298023224E-2</v>
      </c>
      <c r="U6" s="2" t="s">
        <v>15</v>
      </c>
      <c r="V6" s="2"/>
      <c r="W6" s="2"/>
      <c r="X6" s="2"/>
      <c r="Y6" s="2"/>
      <c r="Z6" s="2"/>
    </row>
    <row r="7" spans="1:26" ht="12.75" customHeight="1" x14ac:dyDescent="0.25">
      <c r="A7" s="2" t="s">
        <v>20</v>
      </c>
      <c r="B7" s="26">
        <v>7.5897245407104492</v>
      </c>
      <c r="C7" s="21">
        <v>0.6339869499206543</v>
      </c>
      <c r="D7" s="21">
        <v>0.89542484283447266</v>
      </c>
      <c r="E7" s="21">
        <v>0.70588237047195435</v>
      </c>
      <c r="F7" s="21">
        <v>0.72077924013137817</v>
      </c>
      <c r="G7" s="21">
        <v>0.89261746406555176</v>
      </c>
      <c r="H7" s="21">
        <v>0.89999997615814209</v>
      </c>
      <c r="I7" s="21">
        <v>0.87999999523162842</v>
      </c>
      <c r="J7" s="21">
        <v>0.87248319387435913</v>
      </c>
      <c r="K7" s="21">
        <v>0.83225804567337036</v>
      </c>
      <c r="L7" s="21">
        <v>0.8451613187789917</v>
      </c>
      <c r="M7" s="21">
        <v>0.88666665554046631</v>
      </c>
      <c r="N7" s="19">
        <v>1.5013923645019531</v>
      </c>
      <c r="O7" s="21">
        <v>0.91176468133926392</v>
      </c>
      <c r="P7" s="21">
        <v>0.78840577602386475</v>
      </c>
      <c r="Q7" s="21">
        <v>0.76623374223709106</v>
      </c>
      <c r="R7" s="21">
        <v>1.3071895577013493E-2</v>
      </c>
      <c r="S7" s="21">
        <v>6.4516128040850163E-3</v>
      </c>
      <c r="T7" s="21">
        <v>6.4935064874589443E-3</v>
      </c>
      <c r="U7" s="2" t="s">
        <v>21</v>
      </c>
      <c r="V7" s="2"/>
      <c r="W7" s="2"/>
      <c r="X7" s="2"/>
      <c r="Y7" s="2"/>
      <c r="Z7" s="2"/>
    </row>
    <row r="8" spans="1:26" ht="12.75" customHeight="1" x14ac:dyDescent="0.25">
      <c r="A8" s="2" t="s">
        <v>22</v>
      </c>
      <c r="B8" s="26">
        <v>8.214594841003418</v>
      </c>
      <c r="C8" s="21">
        <v>0.64341086149215698</v>
      </c>
      <c r="D8" s="21">
        <v>0.96992480754852295</v>
      </c>
      <c r="E8" s="21">
        <v>0.746268630027771</v>
      </c>
      <c r="F8" s="21">
        <v>0.35658913850784302</v>
      </c>
      <c r="G8" s="21">
        <v>0.9922480583190918</v>
      </c>
      <c r="H8" s="21">
        <v>0.96124029159545898</v>
      </c>
      <c r="I8" s="21">
        <v>0.96875</v>
      </c>
      <c r="J8" s="21">
        <v>0.99230766296386719</v>
      </c>
      <c r="K8" s="21">
        <v>0.92647057771682739</v>
      </c>
      <c r="L8" s="21">
        <v>0.88970589637756348</v>
      </c>
      <c r="M8" s="21">
        <v>0.98461538553237915</v>
      </c>
      <c r="N8" s="19">
        <v>2.3685579299926758</v>
      </c>
      <c r="O8" s="21">
        <v>0.97849464416503906</v>
      </c>
      <c r="P8" s="21">
        <v>0.92553192377090454</v>
      </c>
      <c r="Q8" s="21">
        <v>0.28358209133148193</v>
      </c>
      <c r="R8" s="21">
        <v>2.985074557363987E-2</v>
      </c>
      <c r="S8" s="21">
        <v>1</v>
      </c>
      <c r="T8" s="21">
        <v>0</v>
      </c>
      <c r="U8" s="2" t="s">
        <v>15</v>
      </c>
      <c r="V8" s="2"/>
      <c r="W8" s="2"/>
      <c r="X8" s="2"/>
      <c r="Y8" s="2"/>
      <c r="Z8" s="2"/>
    </row>
    <row r="9" spans="1:26" ht="12.75" customHeight="1" x14ac:dyDescent="0.25">
      <c r="A9" s="2" t="s">
        <v>25</v>
      </c>
      <c r="B9" s="26">
        <v>7.4563865661621094</v>
      </c>
      <c r="C9" s="21">
        <v>0.5317460298538208</v>
      </c>
      <c r="D9" s="21">
        <v>0.92000001668930054</v>
      </c>
      <c r="E9" s="21">
        <v>0.55905508995056152</v>
      </c>
      <c r="F9" s="21">
        <v>0.49579831957817078</v>
      </c>
      <c r="G9" s="21">
        <v>0.95901638269424438</v>
      </c>
      <c r="H9" s="21">
        <v>0.91803276538848877</v>
      </c>
      <c r="I9" s="21">
        <v>0.87704920768737793</v>
      </c>
      <c r="J9" s="21">
        <v>0.8852459192276001</v>
      </c>
      <c r="K9" s="21">
        <v>0.8461538553237915</v>
      </c>
      <c r="L9" s="21">
        <v>0.8153846263885498</v>
      </c>
      <c r="M9" s="21">
        <v>0.9098360538482666</v>
      </c>
      <c r="N9" s="19">
        <v>1.7313876152038574</v>
      </c>
      <c r="O9" s="21">
        <v>0.96551722288131714</v>
      </c>
      <c r="P9" s="21">
        <v>0.71808511018753052</v>
      </c>
      <c r="Q9" s="21">
        <v>0.9140625</v>
      </c>
      <c r="R9" s="21">
        <v>2.3255813866853714E-2</v>
      </c>
      <c r="S9" s="21">
        <v>0.16923077404499054</v>
      </c>
      <c r="T9" s="21">
        <v>1.5503875911235809E-2</v>
      </c>
      <c r="U9" s="2" t="s">
        <v>26</v>
      </c>
      <c r="V9" s="2"/>
      <c r="W9" s="2"/>
      <c r="X9" s="2"/>
      <c r="Y9" s="2"/>
      <c r="Z9" s="2"/>
    </row>
    <row r="10" spans="1:26" ht="12.75" customHeight="1" x14ac:dyDescent="0.25">
      <c r="A10" s="2" t="s">
        <v>23</v>
      </c>
      <c r="B10" s="26">
        <v>7.7849674224853516</v>
      </c>
      <c r="C10" s="21">
        <v>0.60233920812606812</v>
      </c>
      <c r="D10" s="21">
        <v>0.99418604373931885</v>
      </c>
      <c r="E10" s="21">
        <v>0.70285713672637939</v>
      </c>
      <c r="F10" s="21">
        <v>0.35294118523597717</v>
      </c>
      <c r="G10" s="21">
        <v>0.97633135318756104</v>
      </c>
      <c r="H10" s="21">
        <v>0.89940828084945679</v>
      </c>
      <c r="I10" s="21">
        <v>0.89411765336990356</v>
      </c>
      <c r="J10" s="21">
        <v>0.91228067874908447</v>
      </c>
      <c r="K10" s="21">
        <v>0.8913043737411499</v>
      </c>
      <c r="L10" s="21">
        <v>0.81521737575531006</v>
      </c>
      <c r="M10" s="21">
        <v>0.96511626243591309</v>
      </c>
      <c r="N10" s="19">
        <v>2.2345981597900391</v>
      </c>
      <c r="O10" s="21">
        <v>0.9917948842048645</v>
      </c>
      <c r="P10" s="21">
        <v>0.88162344694137573</v>
      </c>
      <c r="Q10" s="21">
        <v>0.50877195596694946</v>
      </c>
      <c r="R10" s="21">
        <v>2.9239766299724579E-2</v>
      </c>
      <c r="S10" s="21">
        <v>0.47282609343528748</v>
      </c>
      <c r="T10" s="21">
        <v>0</v>
      </c>
      <c r="U10" s="2" t="s">
        <v>24</v>
      </c>
      <c r="V10" s="2"/>
      <c r="W10" s="2"/>
      <c r="X10" s="2"/>
      <c r="Y10" s="2"/>
      <c r="Z10" s="2"/>
    </row>
    <row r="11" spans="1:26" ht="12.75" customHeight="1" x14ac:dyDescent="0.25">
      <c r="A11" s="2" t="s">
        <v>27</v>
      </c>
      <c r="B11" s="26">
        <v>7.4204583168029785</v>
      </c>
      <c r="C11" s="21">
        <v>0.63999998569488525</v>
      </c>
      <c r="D11" s="21">
        <v>0.91176468133926392</v>
      </c>
      <c r="E11" s="21">
        <v>0.63725489377975464</v>
      </c>
      <c r="F11" s="21">
        <v>0.63265305757522583</v>
      </c>
      <c r="G11" s="21">
        <v>0.94117647409439087</v>
      </c>
      <c r="H11" s="21">
        <v>0.85000002384185791</v>
      </c>
      <c r="I11" s="21">
        <v>0.84313726425170898</v>
      </c>
      <c r="J11" s="21">
        <v>0.86138612031936646</v>
      </c>
      <c r="K11" s="21">
        <v>0.89622640609741211</v>
      </c>
      <c r="L11" s="21">
        <v>0.79245281219482422</v>
      </c>
      <c r="M11" s="21">
        <v>0.94059407711029053</v>
      </c>
      <c r="N11" s="19">
        <v>1.5153681039810181</v>
      </c>
      <c r="O11" s="21">
        <v>0.88333332538604736</v>
      </c>
      <c r="P11" s="21">
        <v>0.71140938997268677</v>
      </c>
      <c r="Q11" s="21">
        <v>0.8396226167678833</v>
      </c>
      <c r="R11" s="21">
        <v>0.12380952388048172</v>
      </c>
      <c r="S11" s="21">
        <v>0.25471699237823486</v>
      </c>
      <c r="T11" s="21">
        <v>9.4339624047279358E-3</v>
      </c>
      <c r="U11" s="2" t="s">
        <v>24</v>
      </c>
      <c r="V11" s="2"/>
      <c r="W11" s="2"/>
      <c r="X11" s="2"/>
      <c r="Y11" s="2"/>
      <c r="Z11" s="2"/>
    </row>
    <row r="12" spans="1:26" ht="12.75" customHeight="1" x14ac:dyDescent="0.25">
      <c r="A12" s="2" t="s">
        <v>28</v>
      </c>
      <c r="B12" s="26">
        <v>7.0519757270812988</v>
      </c>
      <c r="C12" s="21">
        <v>0.46226415038108826</v>
      </c>
      <c r="D12" s="21">
        <v>0.9207921028137207</v>
      </c>
      <c r="E12" s="21">
        <v>0.54285717010498047</v>
      </c>
      <c r="F12" s="21">
        <v>0.49523809552192688</v>
      </c>
      <c r="G12" s="21">
        <v>0.90291261672973633</v>
      </c>
      <c r="H12" s="21">
        <v>0.85436892509460449</v>
      </c>
      <c r="I12" s="21">
        <v>0.87378638982772827</v>
      </c>
      <c r="J12" s="21">
        <v>0.85294115543365479</v>
      </c>
      <c r="K12" s="21">
        <v>0.84545457363128662</v>
      </c>
      <c r="L12" s="21">
        <v>0.75454545021057129</v>
      </c>
      <c r="M12" s="21">
        <v>0.90291261672973633</v>
      </c>
      <c r="N12" s="19">
        <v>1.9068511724472046</v>
      </c>
      <c r="O12" s="21">
        <v>0.84962403774261475</v>
      </c>
      <c r="P12" s="21">
        <v>0.69565218687057495</v>
      </c>
      <c r="Q12" s="21">
        <v>0.64423078298568726</v>
      </c>
      <c r="R12" s="21">
        <v>8.5714288055896759E-2</v>
      </c>
      <c r="S12" s="21">
        <v>0.54545456171035767</v>
      </c>
      <c r="T12" s="21">
        <v>9.4339624047279358E-3</v>
      </c>
      <c r="U12" s="2" t="s">
        <v>26</v>
      </c>
      <c r="V12" s="2"/>
      <c r="W12" s="2"/>
      <c r="X12" s="2"/>
      <c r="Y12" s="2"/>
      <c r="Z12" s="2"/>
    </row>
    <row r="13" spans="1:26" ht="12.75" customHeight="1" x14ac:dyDescent="0.25">
      <c r="A13" s="2" t="s">
        <v>30</v>
      </c>
      <c r="B13" s="26">
        <v>7.3228521347045898</v>
      </c>
      <c r="C13" s="21">
        <v>0.40000000596046448</v>
      </c>
      <c r="D13" s="21">
        <v>0.8928571343421936</v>
      </c>
      <c r="E13" s="21">
        <v>0.45945945382118225</v>
      </c>
      <c r="F13" s="21">
        <v>0.53571426868438721</v>
      </c>
      <c r="G13" s="21">
        <v>0.90740740299224854</v>
      </c>
      <c r="H13" s="21">
        <v>0.86915886402130127</v>
      </c>
      <c r="I13" s="21">
        <v>0.86915886402130127</v>
      </c>
      <c r="J13" s="21">
        <v>0.85981309413909912</v>
      </c>
      <c r="K13" s="21">
        <v>0.7881355881690979</v>
      </c>
      <c r="L13" s="21">
        <v>0.70338982343673706</v>
      </c>
      <c r="M13" s="21">
        <v>0.89622640609741211</v>
      </c>
      <c r="N13" s="19">
        <v>2.9056313037872314</v>
      </c>
      <c r="O13" s="21">
        <v>0.98260867595672607</v>
      </c>
      <c r="P13" s="21">
        <v>0.89763778448104858</v>
      </c>
      <c r="Q13" s="21">
        <v>0.78260868787765503</v>
      </c>
      <c r="R13" s="21">
        <v>0.12389380484819412</v>
      </c>
      <c r="S13" s="21">
        <v>0.8644067645072937</v>
      </c>
      <c r="T13" s="21">
        <v>1.7391303554177284E-2</v>
      </c>
      <c r="U13" s="2" t="s">
        <v>15</v>
      </c>
      <c r="V13" s="2"/>
      <c r="W13" s="2"/>
      <c r="X13" s="2"/>
      <c r="Y13" s="2"/>
      <c r="Z13" s="2"/>
    </row>
    <row r="14" spans="1:26" ht="12.75" customHeight="1" x14ac:dyDescent="0.25">
      <c r="A14" s="2" t="s">
        <v>32</v>
      </c>
      <c r="B14" s="26">
        <v>7.6697735786437988</v>
      </c>
      <c r="C14" s="21">
        <v>0.62318837642669678</v>
      </c>
      <c r="D14" s="21">
        <v>0.88028168678283691</v>
      </c>
      <c r="E14" s="21">
        <v>0.58865249156951904</v>
      </c>
      <c r="F14" s="21">
        <v>0.64233577251434326</v>
      </c>
      <c r="G14" s="21">
        <v>0.92647057771682739</v>
      </c>
      <c r="H14" s="21">
        <v>0.80291968584060669</v>
      </c>
      <c r="I14" s="21">
        <v>0.82481753826141357</v>
      </c>
      <c r="J14" s="21">
        <v>0.83088237047195435</v>
      </c>
      <c r="K14" s="21">
        <v>0.81081080436706543</v>
      </c>
      <c r="L14" s="21">
        <v>0.6689189076423645</v>
      </c>
      <c r="M14" s="21">
        <v>0.90579712390899658</v>
      </c>
      <c r="N14" s="19">
        <v>2.2863674163818359</v>
      </c>
      <c r="O14" s="21">
        <v>0.99173551797866821</v>
      </c>
      <c r="P14" s="21">
        <v>0.89215683937072754</v>
      </c>
      <c r="Q14" s="21">
        <v>0.8741258978843689</v>
      </c>
      <c r="R14" s="21">
        <v>7.63888880610466E-2</v>
      </c>
      <c r="S14" s="21">
        <v>0.57432430982589722</v>
      </c>
      <c r="T14" s="21">
        <v>1.4184396713972092E-2</v>
      </c>
      <c r="U14" s="2" t="s">
        <v>15</v>
      </c>
      <c r="V14" s="2"/>
      <c r="W14" s="2"/>
      <c r="X14" s="2"/>
      <c r="Y14" s="2"/>
      <c r="Z14" s="2"/>
    </row>
    <row r="15" spans="1:26" ht="12.75" customHeight="1" x14ac:dyDescent="0.25">
      <c r="A15" s="2" t="s">
        <v>31</v>
      </c>
      <c r="B15" s="26">
        <v>6.8296713829040527</v>
      </c>
      <c r="C15" s="21">
        <v>0.36363637447357178</v>
      </c>
      <c r="D15" s="21">
        <v>0.93693691492080688</v>
      </c>
      <c r="E15" s="21">
        <v>0.53571426868438721</v>
      </c>
      <c r="F15" s="21">
        <v>0.34259259700775146</v>
      </c>
      <c r="G15" s="21">
        <v>0.91176468133926392</v>
      </c>
      <c r="H15" s="21">
        <v>0.83495146036148071</v>
      </c>
      <c r="I15" s="21">
        <v>0.85294115543365479</v>
      </c>
      <c r="J15" s="21">
        <v>0.86138612031936646</v>
      </c>
      <c r="K15" s="21">
        <v>0.83333331346511841</v>
      </c>
      <c r="L15" s="21">
        <v>0.76315790414810181</v>
      </c>
      <c r="M15" s="21">
        <v>0.93203884363174438</v>
      </c>
      <c r="N15" s="19">
        <v>0.32388663291931152</v>
      </c>
      <c r="O15" s="21">
        <v>0.80000001192092896</v>
      </c>
      <c r="P15" s="21">
        <v>0.55555558204650879</v>
      </c>
      <c r="Q15" s="21">
        <v>0.80357140302658081</v>
      </c>
      <c r="R15" s="21">
        <v>4.46428582072258E-2</v>
      </c>
      <c r="S15" s="21">
        <v>0.50877195596694946</v>
      </c>
      <c r="T15" s="21">
        <v>8.849557489156723E-3</v>
      </c>
      <c r="U15" s="2" t="s">
        <v>18</v>
      </c>
      <c r="V15" s="2"/>
      <c r="W15" s="2"/>
      <c r="X15" s="2"/>
      <c r="Y15" s="2"/>
      <c r="Z15" s="2"/>
    </row>
    <row r="16" spans="1:26" ht="12.75" customHeight="1" x14ac:dyDescent="0.25">
      <c r="A16" s="2" t="s">
        <v>33</v>
      </c>
      <c r="B16" s="26">
        <v>6.9124422073364258</v>
      </c>
      <c r="C16" s="21">
        <v>0.48235294222831726</v>
      </c>
      <c r="D16" s="21">
        <v>0.85798817873001099</v>
      </c>
      <c r="E16" s="21">
        <v>0.59537571668624878</v>
      </c>
      <c r="F16" s="21">
        <v>0.4117647111415863</v>
      </c>
      <c r="G16" s="21">
        <v>0.87349396944046021</v>
      </c>
      <c r="H16" s="21">
        <v>0.83333331346511841</v>
      </c>
      <c r="I16" s="21">
        <v>0.81656807661056519</v>
      </c>
      <c r="J16" s="21">
        <v>0.83333331346511841</v>
      </c>
      <c r="K16" s="21">
        <v>0.75675678253173828</v>
      </c>
      <c r="L16" s="21">
        <v>0.71351349353790283</v>
      </c>
      <c r="M16" s="21">
        <v>0.85628741979598999</v>
      </c>
      <c r="N16" s="19">
        <v>1.8645578622817993</v>
      </c>
      <c r="O16" s="21">
        <v>0.84832453727722168</v>
      </c>
      <c r="P16" s="21">
        <v>0.8423076868057251</v>
      </c>
      <c r="Q16" s="21">
        <v>0.72159093618392944</v>
      </c>
      <c r="R16" s="21">
        <v>3.9772726595401764E-2</v>
      </c>
      <c r="S16" s="21">
        <v>0.32972973585128784</v>
      </c>
      <c r="T16" s="21">
        <v>5.681818351149559E-3</v>
      </c>
      <c r="U16" s="2" t="s">
        <v>26</v>
      </c>
      <c r="V16" s="2"/>
      <c r="W16" s="2"/>
      <c r="X16" s="2"/>
      <c r="Y16" s="2"/>
      <c r="Z16" s="2"/>
    </row>
    <row r="17" spans="1:26" ht="12.75" customHeight="1" x14ac:dyDescent="0.25">
      <c r="A17" s="2" t="s">
        <v>34</v>
      </c>
      <c r="B17" s="26">
        <v>7.5457963943481445</v>
      </c>
      <c r="C17" s="21">
        <v>0.375</v>
      </c>
      <c r="D17" s="21">
        <v>0.91390728950500488</v>
      </c>
      <c r="E17" s="21">
        <v>0.46052631735801697</v>
      </c>
      <c r="F17" s="21">
        <v>0.41379311680793762</v>
      </c>
      <c r="G17" s="21">
        <v>0.94630873203277588</v>
      </c>
      <c r="H17" s="21">
        <v>0.89864861965179443</v>
      </c>
      <c r="I17" s="21">
        <v>0.9189189076423645</v>
      </c>
      <c r="J17" s="21">
        <v>0.92666667699813843</v>
      </c>
      <c r="K17" s="21">
        <v>0.89032256603240967</v>
      </c>
      <c r="L17" s="21">
        <v>0.79354840517044067</v>
      </c>
      <c r="M17" s="21">
        <v>0.93288588523864746</v>
      </c>
      <c r="N17" s="19">
        <v>1.1860255002975464</v>
      </c>
      <c r="O17" s="21">
        <v>0.93877553939819336</v>
      </c>
      <c r="P17" s="21">
        <v>0.765625</v>
      </c>
      <c r="Q17" s="21">
        <v>0.83006536960601807</v>
      </c>
      <c r="R17" s="21">
        <v>4.5751634985208511E-2</v>
      </c>
      <c r="S17" s="21">
        <v>0.96129029989242554</v>
      </c>
      <c r="T17" s="21">
        <v>1.3071895577013493E-2</v>
      </c>
      <c r="U17" s="2" t="s">
        <v>35</v>
      </c>
      <c r="V17" s="2"/>
      <c r="W17" s="2"/>
      <c r="X17" s="2"/>
      <c r="Y17" s="2"/>
      <c r="Z17" s="2"/>
    </row>
    <row r="18" spans="1:26" ht="12.75" customHeight="1" x14ac:dyDescent="0.25">
      <c r="A18" s="2" t="s">
        <v>36</v>
      </c>
      <c r="B18" s="26">
        <v>7.713348388671875</v>
      </c>
      <c r="C18" s="21">
        <v>0.63999998569488525</v>
      </c>
      <c r="D18" s="21">
        <v>0.96039605140686035</v>
      </c>
      <c r="E18" s="21">
        <v>0.70297032594680786</v>
      </c>
      <c r="F18" s="21">
        <v>0.69696968793869019</v>
      </c>
      <c r="G18" s="21">
        <v>0.93999999761581421</v>
      </c>
      <c r="H18" s="21">
        <v>0.86868685483932495</v>
      </c>
      <c r="I18" s="21">
        <v>0.89999997615814209</v>
      </c>
      <c r="J18" s="21">
        <v>0.91919189691543579</v>
      </c>
      <c r="K18" s="21">
        <v>0.875</v>
      </c>
      <c r="L18" s="21">
        <v>0.81730771064758301</v>
      </c>
      <c r="M18" s="21">
        <v>0.92000001668930054</v>
      </c>
      <c r="N18" s="19">
        <v>1.2462235689163208</v>
      </c>
      <c r="O18" s="21">
        <v>0.64705884456634521</v>
      </c>
      <c r="P18" s="21">
        <v>0.87931036949157715</v>
      </c>
      <c r="Q18" s="21">
        <v>0.86000001430511475</v>
      </c>
      <c r="R18" s="21">
        <v>7.9207919538021088E-2</v>
      </c>
      <c r="S18" s="21">
        <v>0.25</v>
      </c>
      <c r="T18" s="21">
        <v>9.8039219155907631E-3</v>
      </c>
      <c r="U18" s="2" t="s">
        <v>35</v>
      </c>
      <c r="V18" s="2"/>
      <c r="W18" s="2"/>
      <c r="X18" s="2"/>
      <c r="Y18" s="2"/>
      <c r="Z18" s="2"/>
    </row>
    <row r="19" spans="1:26" ht="12.75" customHeight="1" x14ac:dyDescent="0.25">
      <c r="A19" s="2" t="s">
        <v>37</v>
      </c>
      <c r="B19" s="26">
        <v>7.3565425872802734</v>
      </c>
      <c r="C19" s="21">
        <v>0.4921875</v>
      </c>
      <c r="D19" s="21">
        <v>0.90076333284378052</v>
      </c>
      <c r="E19" s="21">
        <v>0.55303031206130981</v>
      </c>
      <c r="F19" s="21">
        <v>0.51937985420227051</v>
      </c>
      <c r="G19" s="21">
        <v>0.92125982046127319</v>
      </c>
      <c r="H19" s="21">
        <v>0.87401574850082397</v>
      </c>
      <c r="I19" s="21">
        <v>0.85039371252059937</v>
      </c>
      <c r="J19" s="21">
        <v>0.85039371252059937</v>
      </c>
      <c r="K19" s="21">
        <v>0.85925924777984619</v>
      </c>
      <c r="L19" s="21">
        <v>0.69629627466201782</v>
      </c>
      <c r="M19" s="21">
        <v>0.9140625</v>
      </c>
      <c r="N19" s="19">
        <v>0.6086956262588501</v>
      </c>
      <c r="O19" s="21">
        <v>1</v>
      </c>
      <c r="P19" s="21">
        <v>0.4375</v>
      </c>
      <c r="Q19" s="21">
        <v>0.94736844301223755</v>
      </c>
      <c r="R19" s="21">
        <v>9.0225562453269958E-2</v>
      </c>
      <c r="S19" s="21">
        <v>0.71851849555969238</v>
      </c>
      <c r="T19" s="21">
        <v>0</v>
      </c>
      <c r="U19" s="2" t="s">
        <v>18</v>
      </c>
      <c r="V19" s="2"/>
      <c r="W19" s="2"/>
      <c r="X19" s="2"/>
      <c r="Y19" s="2"/>
      <c r="Z19" s="2"/>
    </row>
    <row r="20" spans="1:26" ht="12.75" customHeight="1" x14ac:dyDescent="0.25">
      <c r="A20" s="2" t="s">
        <v>38</v>
      </c>
      <c r="B20" s="26">
        <v>7.7659034729003906</v>
      </c>
      <c r="C20" s="21">
        <v>0.58860760927200317</v>
      </c>
      <c r="D20" s="21">
        <v>0.91874998807907104</v>
      </c>
      <c r="E20" s="21">
        <v>0.67283952236175537</v>
      </c>
      <c r="F20" s="21">
        <v>0.67721521854400635</v>
      </c>
      <c r="G20" s="21">
        <v>0.94117647409439087</v>
      </c>
      <c r="H20" s="21">
        <v>0.88741719722747803</v>
      </c>
      <c r="I20" s="21">
        <v>0.83333331346511841</v>
      </c>
      <c r="J20" s="21">
        <v>0.87581700086593628</v>
      </c>
      <c r="K20" s="21">
        <v>0.7818182110786438</v>
      </c>
      <c r="L20" s="21">
        <v>0.75757575035095215</v>
      </c>
      <c r="M20" s="21">
        <v>0.88741719722747803</v>
      </c>
      <c r="N20" s="19">
        <v>1.3997822999954224</v>
      </c>
      <c r="O20" s="21">
        <v>0.97643977403640747</v>
      </c>
      <c r="P20" s="21">
        <v>0.57704919576644897</v>
      </c>
      <c r="Q20" s="21">
        <v>0.8580247163772583</v>
      </c>
      <c r="R20" s="21">
        <v>4.2944785207509995E-2</v>
      </c>
      <c r="S20" s="21">
        <v>0.58181816339492798</v>
      </c>
      <c r="T20" s="21">
        <v>6.1349691823124886E-3</v>
      </c>
      <c r="U20" s="2" t="s">
        <v>24</v>
      </c>
      <c r="V20" s="2"/>
      <c r="W20" s="2"/>
      <c r="X20" s="2"/>
      <c r="Y20" s="2"/>
      <c r="Z20" s="2"/>
    </row>
    <row r="21" spans="1:26" ht="12.75" customHeight="1" x14ac:dyDescent="0.25">
      <c r="A21" s="2" t="s">
        <v>39</v>
      </c>
      <c r="B21" s="26">
        <v>7.6773281097412109</v>
      </c>
      <c r="C21" s="21">
        <v>0.63963961601257324</v>
      </c>
      <c r="D21" s="21">
        <v>0.91150444746017456</v>
      </c>
      <c r="E21" s="21">
        <v>0.66379308700561523</v>
      </c>
      <c r="F21" s="21">
        <v>0.71681416034698486</v>
      </c>
      <c r="G21" s="21">
        <v>0.90740740299224854</v>
      </c>
      <c r="H21" s="21">
        <v>0.87962961196899414</v>
      </c>
      <c r="I21" s="21">
        <v>0.8611111044883728</v>
      </c>
      <c r="J21" s="21">
        <v>0.88785046339035034</v>
      </c>
      <c r="K21" s="21">
        <v>0.8474576473236084</v>
      </c>
      <c r="L21" s="21">
        <v>0.73728811740875244</v>
      </c>
      <c r="M21" s="21">
        <v>0.93518519401550293</v>
      </c>
      <c r="N21" s="19">
        <v>2.9983210563659668</v>
      </c>
      <c r="O21" s="21">
        <v>0.94696968793869019</v>
      </c>
      <c r="P21" s="21">
        <v>0.9275362491607666</v>
      </c>
      <c r="Q21" s="21">
        <v>0.83478260040283203</v>
      </c>
      <c r="R21" s="21">
        <v>9.482758492231369E-2</v>
      </c>
      <c r="S21" s="21">
        <v>0.36440679430961609</v>
      </c>
      <c r="T21" s="21">
        <v>4.3103449046611786E-2</v>
      </c>
      <c r="U21" s="2" t="s">
        <v>15</v>
      </c>
      <c r="V21" s="2"/>
      <c r="W21" s="2"/>
      <c r="X21" s="2"/>
      <c r="Y21" s="2"/>
      <c r="Z21" s="2"/>
    </row>
    <row r="22" spans="1:26" ht="12.75" customHeight="1" x14ac:dyDescent="0.25">
      <c r="A22" s="2" t="s">
        <v>40</v>
      </c>
      <c r="B22" s="26">
        <v>7.5096445083618164</v>
      </c>
      <c r="C22" s="21">
        <v>0.58119660615921021</v>
      </c>
      <c r="D22" s="21">
        <v>0.74576270580291748</v>
      </c>
      <c r="E22" s="21">
        <v>0.61864405870437622</v>
      </c>
      <c r="F22" s="21">
        <v>0.55555558204650879</v>
      </c>
      <c r="G22" s="21">
        <v>0.81081080436706543</v>
      </c>
      <c r="H22" s="21">
        <v>0.77678573131561279</v>
      </c>
      <c r="I22" s="21">
        <v>0.83636361360549927</v>
      </c>
      <c r="J22" s="21">
        <v>0.79279279708862305</v>
      </c>
      <c r="K22" s="21">
        <v>0.78688526153564453</v>
      </c>
      <c r="L22" s="21">
        <v>0.64754098653793335</v>
      </c>
      <c r="M22" s="21">
        <v>0.80000001192092896</v>
      </c>
      <c r="N22" s="19">
        <v>3.0408499240875244</v>
      </c>
      <c r="O22" s="21">
        <v>0.92222219705581665</v>
      </c>
      <c r="P22" s="21">
        <v>0.82938390970230103</v>
      </c>
      <c r="Q22" s="21">
        <v>0.80000001192092896</v>
      </c>
      <c r="R22" s="21">
        <v>4.1666667908430099E-2</v>
      </c>
      <c r="S22" s="21">
        <v>0.99180328845977783</v>
      </c>
      <c r="T22" s="21">
        <v>8.3333337679505348E-3</v>
      </c>
      <c r="U22" s="2" t="s">
        <v>35</v>
      </c>
      <c r="V22" s="2"/>
      <c r="W22" s="2"/>
      <c r="X22" s="2"/>
      <c r="Y22" s="2"/>
      <c r="Z22" s="2"/>
    </row>
    <row r="23" spans="1:26" ht="12.75" customHeight="1" x14ac:dyDescent="0.25">
      <c r="A23" s="2" t="s">
        <v>76</v>
      </c>
      <c r="B23" s="26">
        <v>7.1815509796142578</v>
      </c>
      <c r="C23" s="21">
        <v>0.36269429326057434</v>
      </c>
      <c r="D23" s="21">
        <v>0.8966408371925354</v>
      </c>
      <c r="E23" s="21">
        <v>0.56521737575531006</v>
      </c>
      <c r="F23" s="21">
        <v>0.37795275449752808</v>
      </c>
      <c r="G23" s="21">
        <v>0.9365079402923584</v>
      </c>
      <c r="H23" s="21">
        <v>0.920634925365448</v>
      </c>
      <c r="I23" s="21">
        <v>0.89947092533111572</v>
      </c>
      <c r="J23" s="21">
        <v>0.91534394025802612</v>
      </c>
      <c r="K23" s="21">
        <v>0.85175877809524536</v>
      </c>
      <c r="L23" s="21">
        <v>0.85678392648696899</v>
      </c>
      <c r="M23" s="21">
        <v>0.91005289554595947</v>
      </c>
      <c r="N23" s="19">
        <v>2.7765672206878662</v>
      </c>
      <c r="O23" s="21">
        <v>0.98891353607177734</v>
      </c>
      <c r="P23" s="21">
        <v>0.6704026460647583</v>
      </c>
      <c r="Q23" s="21">
        <v>0.82653063535690308</v>
      </c>
      <c r="R23" s="21">
        <v>0.10969387739896774</v>
      </c>
      <c r="S23" s="21">
        <v>0.38693466782569885</v>
      </c>
      <c r="T23" s="21">
        <v>1.0204081423580647E-2</v>
      </c>
      <c r="U23" s="2" t="s">
        <v>24</v>
      </c>
      <c r="V23" s="2"/>
      <c r="W23" s="2"/>
      <c r="X23" s="2"/>
      <c r="Y23" s="2"/>
      <c r="Z23" s="2"/>
    </row>
    <row r="24" spans="1:26" ht="12.75" customHeight="1" x14ac:dyDescent="0.25">
      <c r="A24" s="2" t="s">
        <v>41</v>
      </c>
      <c r="B24" s="26">
        <v>8.3204479217529297</v>
      </c>
      <c r="C24" s="21">
        <v>0.63541668653488159</v>
      </c>
      <c r="D24" s="21">
        <v>0.94949495792388916</v>
      </c>
      <c r="E24" s="21">
        <v>0.68627452850341797</v>
      </c>
      <c r="F24" s="21">
        <v>0.64210528135299683</v>
      </c>
      <c r="G24" s="21">
        <v>0.97938144207000732</v>
      </c>
      <c r="H24" s="21">
        <v>0.89898991584777832</v>
      </c>
      <c r="I24" s="21">
        <v>0.93814432621002197</v>
      </c>
      <c r="J24" s="21">
        <v>0.8888888955116272</v>
      </c>
      <c r="K24" s="21">
        <v>0.89320385456085205</v>
      </c>
      <c r="L24" s="21">
        <v>0.88349515199661255</v>
      </c>
      <c r="M24" s="21">
        <v>0.95918369293212891</v>
      </c>
      <c r="N24" s="19">
        <v>0.85227274894714355</v>
      </c>
      <c r="O24" s="21">
        <v>0.5</v>
      </c>
      <c r="P24" s="21">
        <v>0.84210526943206787</v>
      </c>
      <c r="Q24" s="21">
        <v>0.88118809461593628</v>
      </c>
      <c r="R24" s="21">
        <v>9.900989942252636E-3</v>
      </c>
      <c r="S24" s="21">
        <v>0.96116507053375244</v>
      </c>
      <c r="T24" s="21">
        <v>9.9999997764825821E-3</v>
      </c>
      <c r="U24" s="2" t="s">
        <v>18</v>
      </c>
      <c r="V24" s="2"/>
      <c r="W24" s="2"/>
      <c r="X24" s="2"/>
      <c r="Y24" s="2"/>
      <c r="Z24" s="2"/>
    </row>
    <row r="25" spans="1:26" ht="12.75" customHeight="1" x14ac:dyDescent="0.25">
      <c r="A25" s="2" t="s">
        <v>42</v>
      </c>
      <c r="B25" s="26">
        <v>7.5551304817199707</v>
      </c>
      <c r="C25" s="21">
        <v>0.34210526943206787</v>
      </c>
      <c r="D25" s="21">
        <v>0.91228067874908447</v>
      </c>
      <c r="E25" s="21">
        <v>0.64035087823867798</v>
      </c>
      <c r="F25" s="21">
        <v>0.40869563817977905</v>
      </c>
      <c r="G25" s="21">
        <v>0.93636363744735718</v>
      </c>
      <c r="H25" s="21">
        <v>0.93636363744735718</v>
      </c>
      <c r="I25" s="21">
        <v>0.91071426868438721</v>
      </c>
      <c r="J25" s="21">
        <v>0.90909093618392944</v>
      </c>
      <c r="K25" s="21">
        <v>0.91452991962432861</v>
      </c>
      <c r="L25" s="21">
        <v>0.85470086336135864</v>
      </c>
      <c r="M25" s="21">
        <v>0.94594591856002808</v>
      </c>
      <c r="N25" s="19">
        <v>1.0141987800598145</v>
      </c>
      <c r="O25" s="21">
        <v>0.91666668653488159</v>
      </c>
      <c r="P25" s="21">
        <v>0.72289156913757324</v>
      </c>
      <c r="Q25" s="21">
        <v>0.68421053886413574</v>
      </c>
      <c r="R25" s="21">
        <v>4.3478261679410934E-2</v>
      </c>
      <c r="S25" s="21">
        <v>0.99145299196243286</v>
      </c>
      <c r="T25" s="21">
        <v>1.7391303554177284E-2</v>
      </c>
      <c r="U25" s="2" t="s">
        <v>21</v>
      </c>
      <c r="V25" s="2"/>
      <c r="W25" s="2"/>
      <c r="X25" s="2"/>
      <c r="Y25" s="2"/>
      <c r="Z25" s="2"/>
    </row>
    <row r="26" spans="1:26" ht="12.75" customHeight="1" x14ac:dyDescent="0.25">
      <c r="A26" s="2" t="s">
        <v>43</v>
      </c>
      <c r="B26" s="26">
        <v>7.3949813842773438</v>
      </c>
      <c r="C26" s="21">
        <v>0.39384615421295166</v>
      </c>
      <c r="D26" s="21">
        <v>0.93167704343795776</v>
      </c>
      <c r="E26" s="21">
        <v>0.58966565132141113</v>
      </c>
      <c r="F26" s="21">
        <v>0.40186914801597595</v>
      </c>
      <c r="G26" s="21">
        <v>0.94603174924850464</v>
      </c>
      <c r="H26" s="21">
        <v>0.84227126836776733</v>
      </c>
      <c r="I26" s="21">
        <v>0.83974361419677734</v>
      </c>
      <c r="J26" s="21">
        <v>0.92012780904769897</v>
      </c>
      <c r="K26" s="21">
        <v>0.80994153022766113</v>
      </c>
      <c r="L26" s="21">
        <v>0.77192980051040649</v>
      </c>
      <c r="M26" s="21">
        <v>0.94533759355545044</v>
      </c>
      <c r="N26" s="19">
        <v>0.86317682266235352</v>
      </c>
      <c r="O26" s="21">
        <v>0.96285545825958252</v>
      </c>
      <c r="P26" s="21">
        <v>0.66754966974258423</v>
      </c>
      <c r="Q26" s="21">
        <v>0.64220184087753296</v>
      </c>
      <c r="R26" s="21">
        <v>1.5337423421442509E-2</v>
      </c>
      <c r="S26" s="21">
        <v>0.87426900863647461</v>
      </c>
      <c r="T26" s="21">
        <v>6.1349691823124886E-3</v>
      </c>
      <c r="U26" s="2" t="s">
        <v>21</v>
      </c>
      <c r="V26" s="2"/>
      <c r="W26" s="2"/>
      <c r="X26" s="2"/>
      <c r="Y26" s="2"/>
      <c r="Z26" s="2"/>
    </row>
    <row r="27" spans="1:26" ht="12.75" customHeight="1" x14ac:dyDescent="0.25">
      <c r="A27" s="2" t="s">
        <v>44</v>
      </c>
      <c r="B27" s="26">
        <v>7.9023494720458984</v>
      </c>
      <c r="C27" s="21">
        <v>0.56198346614837646</v>
      </c>
      <c r="D27" s="21">
        <v>0.89430892467498779</v>
      </c>
      <c r="E27" s="21">
        <v>0.64800000190734863</v>
      </c>
      <c r="F27" s="21">
        <v>0.52066117525100708</v>
      </c>
      <c r="G27" s="21">
        <v>0.94117647409439087</v>
      </c>
      <c r="H27" s="21">
        <v>0.82499998807907104</v>
      </c>
      <c r="I27" s="21">
        <v>0.84166663885116577</v>
      </c>
      <c r="J27" s="21">
        <v>0.83193278312683105</v>
      </c>
      <c r="K27" s="21">
        <v>0.8515625</v>
      </c>
      <c r="L27" s="21">
        <v>0.8203125</v>
      </c>
      <c r="M27" s="21">
        <v>0.95726495981216431</v>
      </c>
      <c r="N27" s="19">
        <v>0.53568345308303833</v>
      </c>
      <c r="O27" s="21">
        <v>0.5961538553237915</v>
      </c>
      <c r="P27" s="21">
        <v>0.94444441795349121</v>
      </c>
      <c r="Q27" s="21">
        <v>0.87401574850082397</v>
      </c>
      <c r="R27" s="21">
        <v>1.6000000759959221E-2</v>
      </c>
      <c r="S27" s="21">
        <v>1</v>
      </c>
      <c r="T27" s="21">
        <v>8.0000003799796104E-3</v>
      </c>
      <c r="U27" s="2" t="s">
        <v>26</v>
      </c>
      <c r="V27" s="2"/>
      <c r="W27" s="2"/>
      <c r="X27" s="2"/>
      <c r="Y27" s="2"/>
      <c r="Z27" s="2"/>
    </row>
    <row r="28" spans="1:26" ht="12.75" customHeight="1" x14ac:dyDescent="0.25">
      <c r="A28" s="2" t="s">
        <v>45</v>
      </c>
      <c r="B28" s="26">
        <v>7.8191623687744141</v>
      </c>
      <c r="C28" s="21">
        <v>0.34810125827789307</v>
      </c>
      <c r="D28" s="21">
        <v>0.93827158212661743</v>
      </c>
      <c r="E28" s="21">
        <v>0.67682927846908569</v>
      </c>
      <c r="F28" s="21">
        <v>0.38124999403953552</v>
      </c>
      <c r="G28" s="21">
        <v>0.92500001192092896</v>
      </c>
      <c r="H28" s="21">
        <v>0.93037974834442139</v>
      </c>
      <c r="I28" s="21">
        <v>0.93037974834442139</v>
      </c>
      <c r="J28" s="21">
        <v>0.93037974834442139</v>
      </c>
      <c r="K28" s="21">
        <v>0.89411765336990356</v>
      </c>
      <c r="L28" s="21">
        <v>0.86470586061477661</v>
      </c>
      <c r="M28" s="21">
        <v>0.91874998807907104</v>
      </c>
      <c r="N28" s="19">
        <v>0.74839627742767334</v>
      </c>
      <c r="O28" s="21">
        <v>0.92307692766189575</v>
      </c>
      <c r="P28" s="21">
        <v>0.86868685483932495</v>
      </c>
      <c r="Q28" s="21">
        <v>0.86144578456878662</v>
      </c>
      <c r="R28" s="21">
        <v>3.0303031206130981E-2</v>
      </c>
      <c r="S28" s="21">
        <v>0.87058824300765991</v>
      </c>
      <c r="T28" s="21">
        <v>6.0975607484579086E-3</v>
      </c>
      <c r="U28" s="2" t="s">
        <v>21</v>
      </c>
      <c r="V28" s="2"/>
      <c r="W28" s="2"/>
      <c r="X28" s="2"/>
      <c r="Y28" s="2"/>
      <c r="Z28" s="2"/>
    </row>
    <row r="29" spans="1:26" ht="12.75" customHeight="1" x14ac:dyDescent="0.25">
      <c r="A29" s="2" t="s">
        <v>46</v>
      </c>
      <c r="B29" s="26">
        <v>8.1986799240112305</v>
      </c>
      <c r="C29" s="21">
        <v>0.60843372344970703</v>
      </c>
      <c r="D29" s="21">
        <v>0.90532547235488892</v>
      </c>
      <c r="E29" s="21">
        <v>0.66081869602203369</v>
      </c>
      <c r="F29" s="21">
        <v>0.55151516199111938</v>
      </c>
      <c r="G29" s="21">
        <v>0.9751552939414978</v>
      </c>
      <c r="H29" s="21">
        <v>0.91925466060638428</v>
      </c>
      <c r="I29" s="21">
        <v>0.91925466060638428</v>
      </c>
      <c r="J29" s="21">
        <v>0.92592591047286987</v>
      </c>
      <c r="K29" s="21">
        <v>0.85057473182678223</v>
      </c>
      <c r="L29" s="21">
        <v>0.83333331346511841</v>
      </c>
      <c r="M29" s="21">
        <v>0.94409936666488647</v>
      </c>
      <c r="N29" s="19">
        <v>2.6429624557495117</v>
      </c>
      <c r="O29" s="21">
        <v>0.74331551790237427</v>
      </c>
      <c r="P29" s="21">
        <v>0.91707921028137207</v>
      </c>
      <c r="Q29" s="21">
        <v>0.89017343521118164</v>
      </c>
      <c r="R29" s="21">
        <v>2.9069768264889717E-2</v>
      </c>
      <c r="S29" s="21">
        <v>0.69540232419967651</v>
      </c>
      <c r="T29" s="21">
        <v>1.1764706112444401E-2</v>
      </c>
      <c r="U29" s="2" t="s">
        <v>21</v>
      </c>
      <c r="V29" s="2"/>
      <c r="W29" s="2"/>
      <c r="X29" s="2"/>
      <c r="Y29" s="2"/>
      <c r="Z29" s="2"/>
    </row>
    <row r="30" spans="1:26" ht="12.75" customHeight="1" x14ac:dyDescent="0.25">
      <c r="A30" s="2" t="s">
        <v>47</v>
      </c>
      <c r="B30" s="26">
        <v>8.034754753112793</v>
      </c>
      <c r="C30" s="21">
        <v>0.61290323734283447</v>
      </c>
      <c r="D30" s="21">
        <v>0.86734694242477417</v>
      </c>
      <c r="E30" s="21">
        <v>0.66666668653488159</v>
      </c>
      <c r="F30" s="21">
        <v>0.57608693838119507</v>
      </c>
      <c r="G30" s="21">
        <v>0.94505494832992554</v>
      </c>
      <c r="H30" s="21">
        <v>0.94623655080795288</v>
      </c>
      <c r="I30" s="21">
        <v>0.90109890699386597</v>
      </c>
      <c r="J30" s="21">
        <v>0.96739131212234497</v>
      </c>
      <c r="K30" s="21">
        <v>0.85000002384185791</v>
      </c>
      <c r="L30" s="21">
        <v>0.81999999284744263</v>
      </c>
      <c r="M30" s="21">
        <v>0.92307692766189575</v>
      </c>
      <c r="N30" s="19">
        <v>2.4264705181121826</v>
      </c>
      <c r="O30" s="21">
        <v>0.94285714626312256</v>
      </c>
      <c r="P30" s="21">
        <v>0.84285712242126465</v>
      </c>
      <c r="Q30" s="21">
        <v>0.85000002384185791</v>
      </c>
      <c r="R30" s="21">
        <v>3.9999999105930328E-2</v>
      </c>
      <c r="S30" s="21">
        <v>0.64999997615814209</v>
      </c>
      <c r="T30" s="21">
        <v>2.0408162847161293E-2</v>
      </c>
      <c r="U30" s="2" t="s">
        <v>15</v>
      </c>
      <c r="V30" s="2"/>
      <c r="W30" s="2"/>
      <c r="X30" s="2"/>
      <c r="Y30" s="2"/>
      <c r="Z30" s="2"/>
    </row>
    <row r="31" spans="1:26" ht="12.75" customHeight="1" x14ac:dyDescent="0.25">
      <c r="A31" s="2" t="s">
        <v>48</v>
      </c>
      <c r="B31" s="26">
        <v>6.4347391128540039</v>
      </c>
      <c r="C31" s="21">
        <v>0.55555558204650879</v>
      </c>
      <c r="D31" s="21">
        <v>0.81818181276321411</v>
      </c>
      <c r="E31" s="21">
        <v>0.33663365244865417</v>
      </c>
      <c r="F31" s="21">
        <v>0.57575756311416626</v>
      </c>
      <c r="G31" s="21">
        <v>0.84536081552505493</v>
      </c>
      <c r="H31" s="21">
        <v>0.78125</v>
      </c>
      <c r="I31" s="21">
        <v>0.83505153656005859</v>
      </c>
      <c r="J31" s="21">
        <v>0.8191489577293396</v>
      </c>
      <c r="K31" s="21">
        <v>0.71428573131561279</v>
      </c>
      <c r="L31" s="21">
        <v>0.68571430444717407</v>
      </c>
      <c r="M31" s="21">
        <v>0.85416668653488159</v>
      </c>
      <c r="N31" s="19">
        <v>1.0430686473846436</v>
      </c>
      <c r="O31" s="21">
        <v>0.8611111044883728</v>
      </c>
      <c r="P31" s="21">
        <v>0.76595747470855713</v>
      </c>
      <c r="Q31" s="21">
        <v>0.83495146036148071</v>
      </c>
      <c r="R31" s="21">
        <v>5.8252427726984024E-2</v>
      </c>
      <c r="S31" s="21">
        <v>2.857142873108387E-2</v>
      </c>
      <c r="T31" s="21">
        <v>9.8039219155907631E-3</v>
      </c>
      <c r="U31" s="2" t="s">
        <v>18</v>
      </c>
      <c r="V31" s="2"/>
      <c r="W31" s="2"/>
      <c r="X31" s="2"/>
      <c r="Y31" s="2"/>
      <c r="Z31" s="2"/>
    </row>
    <row r="32" spans="1:26" ht="12.75" customHeight="1" x14ac:dyDescent="0.25">
      <c r="A32" s="2" t="s">
        <v>49</v>
      </c>
      <c r="B32" s="26">
        <v>7.6460666656494141</v>
      </c>
      <c r="C32" s="21">
        <v>0.47794118523597717</v>
      </c>
      <c r="D32" s="21">
        <v>0.77941179275512695</v>
      </c>
      <c r="E32" s="21">
        <v>0.50724637508392334</v>
      </c>
      <c r="F32" s="21">
        <v>0.65925925970077515</v>
      </c>
      <c r="G32" s="21">
        <v>0.8796992301940918</v>
      </c>
      <c r="H32" s="21">
        <v>0.87022900581359863</v>
      </c>
      <c r="I32" s="21">
        <v>0.87878787517547607</v>
      </c>
      <c r="J32" s="21">
        <v>0.90977442264556885</v>
      </c>
      <c r="K32" s="21">
        <v>0.81560283899307251</v>
      </c>
      <c r="L32" s="21">
        <v>0.85106384754180908</v>
      </c>
      <c r="M32" s="21">
        <v>0.81679391860961914</v>
      </c>
      <c r="N32" s="19">
        <v>1.8761533498764038</v>
      </c>
      <c r="O32" s="21">
        <v>0.90594059228897095</v>
      </c>
      <c r="P32" s="21">
        <v>0.64552241563796997</v>
      </c>
      <c r="Q32" s="21">
        <v>0.8571428656578064</v>
      </c>
      <c r="R32" s="21">
        <v>2.857142873108387E-2</v>
      </c>
      <c r="S32" s="21">
        <v>0.9929078221321106</v>
      </c>
      <c r="T32" s="21">
        <v>7.1428571827709675E-3</v>
      </c>
      <c r="U32" s="2" t="s">
        <v>21</v>
      </c>
      <c r="V32" s="2"/>
      <c r="W32" s="2"/>
      <c r="X32" s="2"/>
      <c r="Y32" s="2"/>
      <c r="Z32" s="2"/>
    </row>
    <row r="33" spans="1:26" ht="12.75" customHeight="1" x14ac:dyDescent="0.25">
      <c r="A33" s="2" t="s">
        <v>50</v>
      </c>
      <c r="B33" s="26">
        <v>7.4737052917480469</v>
      </c>
      <c r="C33" s="21">
        <v>0.6269841194152832</v>
      </c>
      <c r="D33" s="21">
        <v>0.85483872890472412</v>
      </c>
      <c r="E33" s="21">
        <v>0.6904761791229248</v>
      </c>
      <c r="F33" s="21">
        <v>0.64800000190734863</v>
      </c>
      <c r="G33" s="21">
        <v>0.90082645416259766</v>
      </c>
      <c r="H33" s="21">
        <v>0.85365855693817139</v>
      </c>
      <c r="I33" s="21">
        <v>0.83606559038162231</v>
      </c>
      <c r="J33" s="21">
        <v>0.8852459192276001</v>
      </c>
      <c r="K33" s="21">
        <v>0.85384613275527954</v>
      </c>
      <c r="L33" s="21">
        <v>0.80769228935241699</v>
      </c>
      <c r="M33" s="21">
        <v>0.89430892467498779</v>
      </c>
      <c r="N33" s="19">
        <v>1.4149707555770874</v>
      </c>
      <c r="O33" s="21">
        <v>0.93641620874404907</v>
      </c>
      <c r="P33" s="21">
        <v>0.54166668653488159</v>
      </c>
      <c r="Q33" s="21">
        <v>0.83333331346511841</v>
      </c>
      <c r="R33" s="21">
        <v>7.8125E-2</v>
      </c>
      <c r="S33" s="21">
        <v>0.63076925277709961</v>
      </c>
      <c r="T33" s="21">
        <v>3.125E-2</v>
      </c>
      <c r="U33" s="2" t="s">
        <v>26</v>
      </c>
      <c r="V33" s="2"/>
      <c r="W33" s="2"/>
      <c r="X33" s="2"/>
      <c r="Y33" s="2"/>
      <c r="Z33" s="2"/>
    </row>
    <row r="34" spans="1:26" ht="12.75" customHeight="1" x14ac:dyDescent="0.25">
      <c r="A34" s="2" t="s">
        <v>51</v>
      </c>
      <c r="B34" s="26">
        <v>6.3914742469787598</v>
      </c>
      <c r="C34" s="21">
        <v>0.53333336114883423</v>
      </c>
      <c r="D34" s="21">
        <v>0.79661017656326294</v>
      </c>
      <c r="E34" s="21">
        <v>0.47058823704719543</v>
      </c>
      <c r="F34" s="21">
        <v>0.44999998807907104</v>
      </c>
      <c r="G34" s="21">
        <v>0.85470086336135864</v>
      </c>
      <c r="H34" s="21">
        <v>0.83760684728622437</v>
      </c>
      <c r="I34" s="21">
        <v>0.77966099977493286</v>
      </c>
      <c r="J34" s="21">
        <v>0.83193278312683105</v>
      </c>
      <c r="K34" s="21">
        <v>0.82499998807907104</v>
      </c>
      <c r="L34" s="21">
        <v>0.84166663885116577</v>
      </c>
      <c r="M34" s="21">
        <v>0.82905983924865723</v>
      </c>
      <c r="N34" s="19">
        <v>1.4739228487014771</v>
      </c>
      <c r="O34" s="21">
        <v>0.89655172824859619</v>
      </c>
      <c r="P34" s="21">
        <v>0.57370519638061523</v>
      </c>
      <c r="Q34" s="21">
        <v>0.71666663885116577</v>
      </c>
      <c r="R34" s="21">
        <v>0.13333334028720856</v>
      </c>
      <c r="S34" s="21">
        <v>0.64999997615814209</v>
      </c>
      <c r="T34" s="21">
        <v>5.000000074505806E-2</v>
      </c>
      <c r="U34" s="2" t="s">
        <v>15</v>
      </c>
      <c r="V34" s="2"/>
      <c r="W34" s="2"/>
      <c r="X34" s="2"/>
      <c r="Y34" s="2"/>
      <c r="Z34" s="2"/>
    </row>
    <row r="35" spans="1:26" ht="12.75" customHeight="1" x14ac:dyDescent="0.25">
      <c r="A35" s="2" t="s">
        <v>52</v>
      </c>
      <c r="B35" s="26">
        <v>6.5112457275390625</v>
      </c>
      <c r="C35" s="21">
        <v>0.43564355373382568</v>
      </c>
      <c r="D35" s="21">
        <v>0.82178217172622681</v>
      </c>
      <c r="E35" s="21">
        <v>0.55000001192092896</v>
      </c>
      <c r="F35" s="21">
        <v>0.4455445408821106</v>
      </c>
      <c r="G35" s="21">
        <v>0.88118809461593628</v>
      </c>
      <c r="H35" s="21">
        <v>0.80000001192092896</v>
      </c>
      <c r="I35" s="21">
        <v>0.78787881135940552</v>
      </c>
      <c r="J35" s="21">
        <v>0.82828283309936523</v>
      </c>
      <c r="K35" s="21">
        <v>0.86138612031936646</v>
      </c>
      <c r="L35" s="21">
        <v>0.76237624883651733</v>
      </c>
      <c r="M35" s="21">
        <v>0.85000002384185791</v>
      </c>
      <c r="N35" s="19">
        <v>1.674418568611145</v>
      </c>
      <c r="O35" s="21">
        <v>0.6428571343421936</v>
      </c>
      <c r="P35" s="21">
        <v>0.8208954930305481</v>
      </c>
      <c r="Q35" s="21">
        <v>0.5899999737739563</v>
      </c>
      <c r="R35" s="21">
        <v>0.10101009905338287</v>
      </c>
      <c r="S35" s="21">
        <v>0.35643565654754639</v>
      </c>
      <c r="T35" s="21">
        <v>0</v>
      </c>
      <c r="U35" s="2" t="s">
        <v>35</v>
      </c>
      <c r="V35" s="2"/>
      <c r="W35" s="2"/>
      <c r="X35" s="2"/>
      <c r="Y35" s="2"/>
      <c r="Z35" s="2"/>
    </row>
    <row r="36" spans="1:26" ht="12.75" customHeight="1" x14ac:dyDescent="0.25">
      <c r="A36" s="2" t="s">
        <v>53</v>
      </c>
      <c r="B36" s="26">
        <v>7.0701713562011719</v>
      </c>
      <c r="C36" s="21">
        <v>0.62135922908782959</v>
      </c>
      <c r="D36" s="21">
        <v>0.94230771064758301</v>
      </c>
      <c r="E36" s="21">
        <v>0.51923078298568726</v>
      </c>
      <c r="F36" s="21">
        <v>0.61904764175415039</v>
      </c>
      <c r="G36" s="21">
        <v>0.9207921028137207</v>
      </c>
      <c r="H36" s="21">
        <v>0.84158414602279663</v>
      </c>
      <c r="I36" s="21">
        <v>0.89108908176422119</v>
      </c>
      <c r="J36" s="21">
        <v>0.87254899740219116</v>
      </c>
      <c r="K36" s="21">
        <v>0.80188679695129395</v>
      </c>
      <c r="L36" s="21">
        <v>0.70754718780517578</v>
      </c>
      <c r="M36" s="21">
        <v>0.9207921028137207</v>
      </c>
      <c r="N36" s="19">
        <v>0.55955237150192261</v>
      </c>
      <c r="O36" s="21">
        <v>0.875</v>
      </c>
      <c r="P36" s="21">
        <v>0.53333336114883423</v>
      </c>
      <c r="Q36" s="21">
        <v>0.81132078170776367</v>
      </c>
      <c r="R36" s="21">
        <v>0.16346153616905212</v>
      </c>
      <c r="S36" s="21">
        <v>0.55660378932952881</v>
      </c>
      <c r="T36" s="21">
        <v>9.4339624047279358E-3</v>
      </c>
      <c r="U36" s="2" t="s">
        <v>18</v>
      </c>
      <c r="V36" s="2"/>
      <c r="W36" s="2"/>
      <c r="X36" s="2"/>
      <c r="Y36" s="2"/>
      <c r="Z36" s="2"/>
    </row>
    <row r="37" spans="1:26" ht="12.75" customHeight="1" x14ac:dyDescent="0.25">
      <c r="A37" s="2" t="s">
        <v>56</v>
      </c>
      <c r="B37" s="26">
        <v>7.2100825309753418</v>
      </c>
      <c r="C37" s="21">
        <v>0.4305555522441864</v>
      </c>
      <c r="D37" s="21">
        <v>0.91240876913070679</v>
      </c>
      <c r="E37" s="21">
        <v>0.59440559148788452</v>
      </c>
      <c r="F37" s="21">
        <v>0.42657342553138733</v>
      </c>
      <c r="G37" s="21">
        <v>0.93382352590560913</v>
      </c>
      <c r="H37" s="21">
        <v>0.87591242790222168</v>
      </c>
      <c r="I37" s="21">
        <v>0.86567163467407227</v>
      </c>
      <c r="J37" s="21">
        <v>0.9185185432434082</v>
      </c>
      <c r="K37" s="21">
        <v>0.83561640977859497</v>
      </c>
      <c r="L37" s="21">
        <v>0.78767120838165283</v>
      </c>
      <c r="M37" s="21">
        <v>0.92700731754302979</v>
      </c>
      <c r="N37" s="19">
        <v>1.2004364728927612</v>
      </c>
      <c r="O37" s="21">
        <v>0.83898305892944336</v>
      </c>
      <c r="P37" s="21">
        <v>0.73553717136383057</v>
      </c>
      <c r="Q37" s="21">
        <v>0.77777779102325439</v>
      </c>
      <c r="R37" s="21">
        <v>0.1111111119389534</v>
      </c>
      <c r="S37" s="21">
        <v>0.99315071105957031</v>
      </c>
      <c r="T37" s="21">
        <v>4.1666667908430099E-2</v>
      </c>
      <c r="U37" s="2" t="s">
        <v>35</v>
      </c>
      <c r="V37" s="2"/>
      <c r="W37" s="2"/>
      <c r="X37" s="2"/>
      <c r="Y37" s="2"/>
      <c r="Z37" s="2"/>
    </row>
    <row r="38" spans="1:26" ht="12.75" customHeight="1" x14ac:dyDescent="0.25">
      <c r="A38" s="2" t="s">
        <v>54</v>
      </c>
      <c r="B38" s="26">
        <v>7.8930320739746094</v>
      </c>
      <c r="C38" s="21">
        <v>0.3492063581943512</v>
      </c>
      <c r="D38" s="21">
        <v>0.89682537317276001</v>
      </c>
      <c r="E38" s="21">
        <v>0.5118110179901123</v>
      </c>
      <c r="F38" s="21">
        <v>0.4444444477558136</v>
      </c>
      <c r="G38" s="21">
        <v>0.92561984062194824</v>
      </c>
      <c r="H38" s="21">
        <v>0.87704920768737793</v>
      </c>
      <c r="I38" s="21">
        <v>0.8852459192276001</v>
      </c>
      <c r="J38" s="21">
        <v>0.89999997615814209</v>
      </c>
      <c r="K38" s="21">
        <v>0.8195488452911377</v>
      </c>
      <c r="L38" s="21">
        <v>0.76691728830337524</v>
      </c>
      <c r="M38" s="21">
        <v>0.92561984062194824</v>
      </c>
      <c r="N38" s="19">
        <v>2.6296567916870117</v>
      </c>
      <c r="O38" s="21">
        <v>0.80000001192092896</v>
      </c>
      <c r="P38" s="21">
        <v>0.94202899932861328</v>
      </c>
      <c r="Q38" s="21">
        <v>0.91666668653488159</v>
      </c>
      <c r="R38" s="21">
        <v>1.5151515603065491E-2</v>
      </c>
      <c r="S38" s="21">
        <v>0.99248123168945313</v>
      </c>
      <c r="T38" s="21">
        <v>0</v>
      </c>
      <c r="U38" s="2" t="s">
        <v>18</v>
      </c>
      <c r="V38" s="2"/>
      <c r="W38" s="2"/>
      <c r="X38" s="2"/>
      <c r="Y38" s="2"/>
      <c r="Z38" s="2"/>
    </row>
    <row r="39" spans="1:26" ht="12.75" customHeight="1" x14ac:dyDescent="0.25">
      <c r="A39" s="2" t="s">
        <v>55</v>
      </c>
      <c r="B39" s="26">
        <v>8.0466766357421875</v>
      </c>
      <c r="C39" s="21">
        <v>0.56842106580734253</v>
      </c>
      <c r="D39" s="21">
        <v>0.89108908176422119</v>
      </c>
      <c r="E39" s="21">
        <v>0.68316829204559326</v>
      </c>
      <c r="F39" s="21">
        <v>0.62765955924987793</v>
      </c>
      <c r="G39" s="21">
        <v>0.94897961616516113</v>
      </c>
      <c r="H39" s="21">
        <v>0.92553192377090454</v>
      </c>
      <c r="I39" s="21">
        <v>0.90816324949264526</v>
      </c>
      <c r="J39" s="21">
        <v>0.90625</v>
      </c>
      <c r="K39" s="21">
        <v>0.83809524774551392</v>
      </c>
      <c r="L39" s="21">
        <v>0.77142858505249023</v>
      </c>
      <c r="M39" s="21">
        <v>0.90625</v>
      </c>
      <c r="N39" s="19">
        <v>1.2816940546035767</v>
      </c>
      <c r="O39" s="21">
        <v>0.76666665077209473</v>
      </c>
      <c r="P39" s="21">
        <v>0.90909093618392944</v>
      </c>
      <c r="Q39" s="21">
        <v>0.85148513317108154</v>
      </c>
      <c r="R39" s="21">
        <v>4.9019608646631241E-2</v>
      </c>
      <c r="S39" s="21">
        <v>0.91428571939468384</v>
      </c>
      <c r="T39" s="21">
        <v>9.8039219155907631E-3</v>
      </c>
      <c r="U39" s="2" t="s">
        <v>18</v>
      </c>
      <c r="V39" s="2"/>
      <c r="W39" s="2"/>
      <c r="X39" s="2"/>
      <c r="Y39" s="2"/>
      <c r="Z39" s="2"/>
    </row>
    <row r="40" spans="1:26" ht="12.75" customHeight="1" x14ac:dyDescent="0.25">
      <c r="A40" s="2" t="s">
        <v>57</v>
      </c>
      <c r="B40" s="26">
        <v>8.288543701171875</v>
      </c>
      <c r="C40" s="21">
        <v>0.68852460384368896</v>
      </c>
      <c r="D40" s="21">
        <v>0.8880000114440918</v>
      </c>
      <c r="E40" s="21">
        <v>0.56800001859664917</v>
      </c>
      <c r="F40" s="21">
        <v>0.74590164422988892</v>
      </c>
      <c r="G40" s="21">
        <v>0.93043476343154907</v>
      </c>
      <c r="H40" s="21">
        <v>0.91452991962432861</v>
      </c>
      <c r="I40" s="21">
        <v>0.91304349899291992</v>
      </c>
      <c r="J40" s="21">
        <v>0.88793104887008667</v>
      </c>
      <c r="K40" s="21">
        <v>0.83464568853378296</v>
      </c>
      <c r="L40" s="21">
        <v>0.70078742504119873</v>
      </c>
      <c r="M40" s="21">
        <v>0.94017094373703003</v>
      </c>
      <c r="N40" s="19">
        <v>2.1452550888061523</v>
      </c>
      <c r="O40" s="21">
        <v>0.95970696210861206</v>
      </c>
      <c r="P40" s="21">
        <v>0.78798586130142212</v>
      </c>
      <c r="Q40" s="21">
        <v>0.8399999737739563</v>
      </c>
      <c r="R40" s="21">
        <v>5.6451611220836639E-2</v>
      </c>
      <c r="S40" s="21">
        <v>0.95275592803955078</v>
      </c>
      <c r="T40" s="21">
        <v>0</v>
      </c>
      <c r="U40" s="2" t="s">
        <v>15</v>
      </c>
      <c r="V40" s="2"/>
      <c r="W40" s="2"/>
      <c r="X40" s="2"/>
      <c r="Y40" s="2"/>
      <c r="Z40" s="2"/>
    </row>
    <row r="41" spans="1:26" ht="12.75" customHeight="1" x14ac:dyDescent="0.25">
      <c r="A41" s="2" t="s">
        <v>58</v>
      </c>
      <c r="B41" s="26">
        <v>7.170250415802002</v>
      </c>
      <c r="C41" s="21">
        <v>0.42253521084785461</v>
      </c>
      <c r="D41" s="21">
        <v>0.95774650573730469</v>
      </c>
      <c r="E41" s="21">
        <v>0.5625</v>
      </c>
      <c r="F41" s="21">
        <v>0.44055944681167603</v>
      </c>
      <c r="G41" s="21">
        <v>0.91489362716674805</v>
      </c>
      <c r="H41" s="21">
        <v>0.91489362716674805</v>
      </c>
      <c r="I41" s="21">
        <v>0.86330932378768921</v>
      </c>
      <c r="J41" s="21">
        <v>0.92857140302658081</v>
      </c>
      <c r="K41" s="21">
        <v>0.84931504726409912</v>
      </c>
      <c r="L41" s="21">
        <v>0.84246575832366943</v>
      </c>
      <c r="M41" s="21">
        <v>0.90070921182632446</v>
      </c>
      <c r="N41" s="19">
        <v>0.80078673362731934</v>
      </c>
      <c r="O41" s="21">
        <v>0.9047619104385376</v>
      </c>
      <c r="P41" s="21">
        <v>0.98275864124298096</v>
      </c>
      <c r="Q41" s="21">
        <v>0.88965517282485962</v>
      </c>
      <c r="R41" s="21">
        <v>4.1379310190677643E-2</v>
      </c>
      <c r="S41" s="21">
        <v>2.7397260069847107E-2</v>
      </c>
      <c r="T41" s="21">
        <v>1.3793103396892548E-2</v>
      </c>
      <c r="U41" s="2" t="s">
        <v>21</v>
      </c>
      <c r="V41" s="2"/>
      <c r="W41" s="2"/>
      <c r="X41" s="2"/>
      <c r="Y41" s="2"/>
      <c r="Z41" s="2"/>
    </row>
    <row r="42" spans="1:26" ht="12.75" customHeight="1" x14ac:dyDescent="0.25">
      <c r="A42" s="2" t="s">
        <v>59</v>
      </c>
      <c r="B42" s="26">
        <v>7.6754589080810547</v>
      </c>
      <c r="C42" s="21">
        <v>0.51034480333328247</v>
      </c>
      <c r="D42" s="21">
        <v>0.89115643501281738</v>
      </c>
      <c r="E42" s="21">
        <v>0.70344829559326172</v>
      </c>
      <c r="F42" s="21">
        <v>0.3680555522441864</v>
      </c>
      <c r="G42" s="21">
        <v>0.90780138969421387</v>
      </c>
      <c r="H42" s="21">
        <v>0.86713284254074097</v>
      </c>
      <c r="I42" s="21">
        <v>0.89361703395843506</v>
      </c>
      <c r="J42" s="21">
        <v>0.8689655065536499</v>
      </c>
      <c r="K42" s="21">
        <v>0.88741719722747803</v>
      </c>
      <c r="L42" s="21">
        <v>0.82781457901000977</v>
      </c>
      <c r="M42" s="21">
        <v>0.90140843391418457</v>
      </c>
      <c r="N42" s="19">
        <v>2.3298408985137939</v>
      </c>
      <c r="O42" s="21">
        <v>0.89325845241546631</v>
      </c>
      <c r="P42" s="21">
        <v>0.85396039485931396</v>
      </c>
      <c r="Q42" s="21">
        <v>0.48630136251449585</v>
      </c>
      <c r="R42" s="21">
        <v>4.1666667908430099E-2</v>
      </c>
      <c r="S42" s="21">
        <v>0.99337750673294067</v>
      </c>
      <c r="T42" s="21">
        <v>0</v>
      </c>
      <c r="U42" s="2" t="s">
        <v>26</v>
      </c>
      <c r="V42" s="2"/>
      <c r="W42" s="2"/>
      <c r="X42" s="2"/>
      <c r="Y42" s="2"/>
      <c r="Z42" s="2"/>
    </row>
    <row r="43" spans="1:26" ht="12.75" customHeight="1" x14ac:dyDescent="0.25">
      <c r="A43" s="2" t="s">
        <v>60</v>
      </c>
      <c r="B43" s="26">
        <v>7.4256296157836914</v>
      </c>
      <c r="C43" s="21">
        <v>0.4444444477558136</v>
      </c>
      <c r="D43" s="21">
        <v>0.89763778448104858</v>
      </c>
      <c r="E43" s="21">
        <v>0.63779526948928833</v>
      </c>
      <c r="F43" s="21">
        <v>0.51219511032104492</v>
      </c>
      <c r="G43" s="21">
        <v>0.87804877758026123</v>
      </c>
      <c r="H43" s="21">
        <v>0.84426230192184448</v>
      </c>
      <c r="I43" s="21">
        <v>0.80645161867141724</v>
      </c>
      <c r="J43" s="21">
        <v>0.84426230192184448</v>
      </c>
      <c r="K43" s="21">
        <v>0.80152672529220581</v>
      </c>
      <c r="L43" s="21">
        <v>0.70992368459701538</v>
      </c>
      <c r="M43" s="21">
        <v>0.82113820314407349</v>
      </c>
      <c r="N43" s="19">
        <v>1.4695340394973755</v>
      </c>
      <c r="O43" s="21">
        <v>0.77358490228652954</v>
      </c>
      <c r="P43" s="21">
        <v>0.68794327974319458</v>
      </c>
      <c r="Q43" s="21">
        <v>0.890625</v>
      </c>
      <c r="R43" s="21">
        <v>4.6875E-2</v>
      </c>
      <c r="S43" s="21">
        <v>0.90839695930480957</v>
      </c>
      <c r="T43" s="21">
        <v>7.8125E-3</v>
      </c>
      <c r="U43" s="2" t="s">
        <v>21</v>
      </c>
      <c r="V43" s="2"/>
      <c r="W43" s="2"/>
      <c r="X43" s="2"/>
      <c r="Y43" s="2"/>
      <c r="Z43" s="2"/>
    </row>
    <row r="44" spans="1:26" ht="12.75" customHeight="1" x14ac:dyDescent="0.25">
      <c r="A44" s="2" t="s">
        <v>61</v>
      </c>
      <c r="B44" s="26">
        <v>7.426114559173584</v>
      </c>
      <c r="C44" s="21">
        <v>0.6696428656578064</v>
      </c>
      <c r="D44" s="21">
        <v>0.98979592323303223</v>
      </c>
      <c r="E44" s="21">
        <v>0.32743361592292786</v>
      </c>
      <c r="F44" s="21">
        <v>0.53097343444824219</v>
      </c>
      <c r="G44" s="21">
        <v>0.92792791128158569</v>
      </c>
      <c r="H44" s="21">
        <v>0.85585588216781616</v>
      </c>
      <c r="I44" s="21">
        <v>0.8468468189239502</v>
      </c>
      <c r="J44" s="21">
        <v>0.96396398544311523</v>
      </c>
      <c r="K44" s="21">
        <v>0.96460175514221191</v>
      </c>
      <c r="L44" s="21">
        <v>0.94690263271331787</v>
      </c>
      <c r="M44" s="21">
        <v>0.95495498180389404</v>
      </c>
      <c r="N44" s="19">
        <v>1.2250161170959473</v>
      </c>
      <c r="O44" s="21">
        <v>0.88372093439102173</v>
      </c>
      <c r="P44" s="21">
        <v>0.91489362716674805</v>
      </c>
      <c r="Q44" s="21">
        <v>0.65486723184585571</v>
      </c>
      <c r="R44" s="21">
        <v>3.5398229956626892E-2</v>
      </c>
      <c r="S44" s="21">
        <v>0.32743361592292786</v>
      </c>
      <c r="T44" s="21">
        <v>1.785714365541935E-2</v>
      </c>
      <c r="U44" s="2" t="s">
        <v>26</v>
      </c>
      <c r="V44" s="2"/>
      <c r="W44" s="2"/>
      <c r="X44" s="2"/>
      <c r="Y44" s="2"/>
      <c r="Z44" s="2"/>
    </row>
    <row r="45" spans="1:26" ht="12.75" customHeight="1" x14ac:dyDescent="0.25">
      <c r="A45" s="2" t="s">
        <v>62</v>
      </c>
      <c r="B45" s="26">
        <v>6.9026684761047363</v>
      </c>
      <c r="C45" s="21">
        <v>0.5703703761100769</v>
      </c>
      <c r="D45" s="21">
        <v>0.87878787517547607</v>
      </c>
      <c r="E45" s="21">
        <v>0.50370371341705322</v>
      </c>
      <c r="F45" s="21">
        <v>0.58646619319915771</v>
      </c>
      <c r="G45" s="21">
        <v>0.8549618124961853</v>
      </c>
      <c r="H45" s="21">
        <v>0.8549618124961853</v>
      </c>
      <c r="I45" s="21">
        <v>0.79545456171035767</v>
      </c>
      <c r="J45" s="21">
        <v>0.88636362552642822</v>
      </c>
      <c r="K45" s="21">
        <v>0.81690138578414917</v>
      </c>
      <c r="L45" s="21">
        <v>0.80985915660858154</v>
      </c>
      <c r="M45" s="21">
        <v>0.83458644151687622</v>
      </c>
      <c r="N45" s="19">
        <v>0.58024126291275024</v>
      </c>
      <c r="O45" s="21">
        <v>0.48717948794364929</v>
      </c>
      <c r="P45" s="21">
        <v>0.86666667461395264</v>
      </c>
      <c r="Q45" s="21">
        <v>0.79562044143676758</v>
      </c>
      <c r="R45" s="21">
        <v>6.5693430602550507E-2</v>
      </c>
      <c r="S45" s="21">
        <v>0.47183099389076233</v>
      </c>
      <c r="T45" s="21">
        <v>1.4492753893136978E-2</v>
      </c>
      <c r="U45" s="2" t="s">
        <v>18</v>
      </c>
      <c r="V45" s="2"/>
      <c r="W45" s="2"/>
      <c r="X45" s="2"/>
      <c r="Y45" s="2"/>
      <c r="Z45" s="2"/>
    </row>
    <row r="46" spans="1:26" ht="12.75" customHeight="1" x14ac:dyDescent="0.25">
      <c r="A46" s="2" t="s">
        <v>63</v>
      </c>
      <c r="B46" s="26">
        <v>7.7627272605895996</v>
      </c>
      <c r="C46" s="21">
        <v>0.57142859697341919</v>
      </c>
      <c r="D46" s="21">
        <v>0.88571429252624512</v>
      </c>
      <c r="E46" s="21">
        <v>0.56190478801727295</v>
      </c>
      <c r="F46" s="21">
        <v>0.60194176435470581</v>
      </c>
      <c r="G46" s="21">
        <v>0.86274510622024536</v>
      </c>
      <c r="H46" s="21">
        <v>0.83495146036148071</v>
      </c>
      <c r="I46" s="21">
        <v>0.81000000238418579</v>
      </c>
      <c r="J46" s="21">
        <v>0.87254899740219116</v>
      </c>
      <c r="K46" s="21">
        <v>0.79439252614974976</v>
      </c>
      <c r="L46" s="21">
        <v>0.73831772804260254</v>
      </c>
      <c r="M46" s="21">
        <v>0.89999997615814209</v>
      </c>
      <c r="N46" s="19">
        <v>3.1194820404052734</v>
      </c>
      <c r="O46" s="21">
        <v>0.77941179275512695</v>
      </c>
      <c r="P46" s="21">
        <v>0.79746836423873901</v>
      </c>
      <c r="Q46" s="21">
        <v>0.90566039085388184</v>
      </c>
      <c r="R46" s="21">
        <v>4.76190485060215E-2</v>
      </c>
      <c r="S46" s="21">
        <v>0.77570092678070068</v>
      </c>
      <c r="T46" s="21">
        <v>9.4339624047279358E-3</v>
      </c>
      <c r="U46" s="2" t="s">
        <v>26</v>
      </c>
      <c r="V46" s="2"/>
      <c r="W46" s="2"/>
      <c r="X46" s="2"/>
      <c r="Y46" s="2"/>
      <c r="Z46" s="2"/>
    </row>
    <row r="47" spans="1:26" ht="12.75" customHeight="1" x14ac:dyDescent="0.25">
      <c r="A47" s="2" t="s">
        <v>64</v>
      </c>
      <c r="B47" s="26">
        <v>7.0307765007019043</v>
      </c>
      <c r="C47" s="21">
        <v>0.54205608367919922</v>
      </c>
      <c r="D47" s="21">
        <v>0.89719623327255249</v>
      </c>
      <c r="E47" s="21">
        <v>0.73148149251937866</v>
      </c>
      <c r="F47" s="21">
        <v>0.38317757844924927</v>
      </c>
      <c r="G47" s="21">
        <v>0.93333333730697632</v>
      </c>
      <c r="H47" s="21">
        <v>0.88679248094558716</v>
      </c>
      <c r="I47" s="21">
        <v>0.91509431600570679</v>
      </c>
      <c r="J47" s="21">
        <v>0.91428571939468384</v>
      </c>
      <c r="K47" s="21">
        <v>0.875</v>
      </c>
      <c r="L47" s="21">
        <v>0.82142859697341919</v>
      </c>
      <c r="M47" s="21">
        <v>0.9523809552192688</v>
      </c>
      <c r="N47" s="19">
        <v>0.83075731992721558</v>
      </c>
      <c r="O47" s="21">
        <v>0.33076924085617065</v>
      </c>
      <c r="P47" s="21">
        <v>0.84415584802627563</v>
      </c>
      <c r="Q47" s="21">
        <v>0.44545453786849976</v>
      </c>
      <c r="R47" s="21">
        <v>8.1818178296089172E-2</v>
      </c>
      <c r="S47" s="21">
        <v>0.7053571343421936</v>
      </c>
      <c r="T47" s="21">
        <v>9.0090092271566391E-3</v>
      </c>
      <c r="U47" s="2" t="s">
        <v>26</v>
      </c>
      <c r="V47" s="2"/>
      <c r="W47" s="2"/>
      <c r="X47" s="2"/>
      <c r="Y47" s="2"/>
      <c r="Z47" s="2"/>
    </row>
    <row r="48" spans="1:26" ht="12.75" customHeight="1" x14ac:dyDescent="0.25">
      <c r="A48" s="2" t="s">
        <v>65</v>
      </c>
      <c r="B48" s="26">
        <v>7.492438793182373</v>
      </c>
      <c r="C48" s="21">
        <v>0.36428570747375488</v>
      </c>
      <c r="D48" s="21">
        <v>0.95035463571548462</v>
      </c>
      <c r="E48" s="21">
        <v>0.53846156597137451</v>
      </c>
      <c r="F48" s="21">
        <v>0.44852942228317261</v>
      </c>
      <c r="G48" s="21">
        <v>0.94160586595535278</v>
      </c>
      <c r="H48" s="21">
        <v>0.89855074882507324</v>
      </c>
      <c r="I48" s="21">
        <v>0.8913043737411499</v>
      </c>
      <c r="J48" s="21">
        <v>0.91240876913070679</v>
      </c>
      <c r="K48" s="21">
        <v>0.87074828147888184</v>
      </c>
      <c r="L48" s="21">
        <v>0.8163265585899353</v>
      </c>
      <c r="M48" s="21">
        <v>0.94927537441253662</v>
      </c>
      <c r="N48" s="19">
        <v>2.7273819446563721</v>
      </c>
      <c r="O48" s="21">
        <v>0.94979077577590942</v>
      </c>
      <c r="P48" s="21">
        <v>0.86742424964904785</v>
      </c>
      <c r="Q48" s="21">
        <v>0.79452055692672729</v>
      </c>
      <c r="R48" s="21">
        <v>0.10273972898721695</v>
      </c>
      <c r="S48" s="21">
        <v>0.69387757778167725</v>
      </c>
      <c r="T48" s="21">
        <v>2.054794505238533E-2</v>
      </c>
      <c r="U48" s="2" t="s">
        <v>26</v>
      </c>
      <c r="V48" s="2"/>
      <c r="W48" s="2"/>
      <c r="X48" s="2"/>
      <c r="Y48" s="2"/>
      <c r="Z48" s="2"/>
    </row>
    <row r="49" spans="1:26" ht="12.75" customHeight="1" x14ac:dyDescent="0.25">
      <c r="A49" s="2" t="s">
        <v>66</v>
      </c>
      <c r="B49" s="26">
        <v>7.0190486907958984</v>
      </c>
      <c r="C49" s="21">
        <v>0.48333331942558289</v>
      </c>
      <c r="D49" s="21">
        <v>0.90756303071975708</v>
      </c>
      <c r="E49" s="21">
        <v>0.50420171022415161</v>
      </c>
      <c r="F49" s="21">
        <v>0.51694917678833008</v>
      </c>
      <c r="G49" s="21">
        <v>0.9406779408454895</v>
      </c>
      <c r="H49" s="21">
        <v>0.9237288236618042</v>
      </c>
      <c r="I49" s="21">
        <v>0.91525423526763916</v>
      </c>
      <c r="J49" s="21">
        <v>0.9237288236618042</v>
      </c>
      <c r="K49" s="21">
        <v>0.87603306770324707</v>
      </c>
      <c r="L49" s="21">
        <v>0.8595041036605835</v>
      </c>
      <c r="M49" s="21">
        <v>0.89830505847930908</v>
      </c>
      <c r="N49" s="19">
        <v>1.0818356275558472</v>
      </c>
      <c r="O49" s="21">
        <v>0.95384615659713745</v>
      </c>
      <c r="P49" s="21">
        <v>0.74712646007537842</v>
      </c>
      <c r="Q49" s="21">
        <v>0.66666668653488159</v>
      </c>
      <c r="R49" s="21">
        <v>0.10000000149011612</v>
      </c>
      <c r="S49" s="21">
        <v>0.1735537201166153</v>
      </c>
      <c r="T49" s="21">
        <v>0</v>
      </c>
      <c r="U49" s="2" t="s">
        <v>26</v>
      </c>
      <c r="V49" s="2"/>
      <c r="W49" s="2"/>
      <c r="X49" s="2"/>
      <c r="Y49" s="2"/>
      <c r="Z49" s="2"/>
    </row>
    <row r="50" spans="1:26" ht="12.75" customHeight="1" x14ac:dyDescent="0.25">
      <c r="A50" s="2" t="s">
        <v>67</v>
      </c>
      <c r="B50" s="26">
        <v>8.4425697326660156</v>
      </c>
      <c r="C50" s="21">
        <v>0.67272728681564331</v>
      </c>
      <c r="D50" s="21">
        <v>0.9298245906829834</v>
      </c>
      <c r="E50" s="21">
        <v>0.63953489065170288</v>
      </c>
      <c r="F50" s="21">
        <v>0.67073172330856323</v>
      </c>
      <c r="G50" s="21">
        <v>0.94082838296890259</v>
      </c>
      <c r="H50" s="21">
        <v>0.90532547235488892</v>
      </c>
      <c r="I50" s="21">
        <v>0.91715973615646362</v>
      </c>
      <c r="J50" s="21">
        <v>0.92352938652038574</v>
      </c>
      <c r="K50" s="21">
        <v>0.93142855167388916</v>
      </c>
      <c r="L50" s="21">
        <v>0.8628571629524231</v>
      </c>
      <c r="M50" s="21">
        <v>0.92899405956268311</v>
      </c>
      <c r="N50" s="19">
        <v>1.2150077819824219</v>
      </c>
      <c r="O50" s="21">
        <v>0.91240876913070679</v>
      </c>
      <c r="P50" s="21">
        <v>0.78488373756408691</v>
      </c>
      <c r="Q50" s="21">
        <v>0.89595377445220947</v>
      </c>
      <c r="R50" s="21">
        <v>1.1560693383216858E-2</v>
      </c>
      <c r="S50" s="21">
        <v>0.8628571629524231</v>
      </c>
      <c r="T50" s="21">
        <v>5.8479532599449158E-3</v>
      </c>
      <c r="U50" s="2" t="s">
        <v>21</v>
      </c>
      <c r="V50" s="2"/>
      <c r="W50" s="2"/>
      <c r="X50" s="2"/>
      <c r="Y50" s="2"/>
      <c r="Z50" s="2"/>
    </row>
    <row r="51" spans="1:26" ht="12.75" customHeight="1" x14ac:dyDescent="0.25">
      <c r="A51" s="2" t="s">
        <v>68</v>
      </c>
      <c r="B51" s="26">
        <v>7.3048825263977051</v>
      </c>
      <c r="C51" s="21">
        <v>0.45192307233810425</v>
      </c>
      <c r="D51" s="21">
        <v>0.84158414602279663</v>
      </c>
      <c r="E51" s="21">
        <v>0.65714287757873535</v>
      </c>
      <c r="F51" s="21">
        <v>0.4038461446762085</v>
      </c>
      <c r="G51" s="21">
        <v>0.87254899740219116</v>
      </c>
      <c r="H51" s="21">
        <v>0.84158414602279663</v>
      </c>
      <c r="I51" s="21">
        <v>0.79411762952804565</v>
      </c>
      <c r="J51" s="21">
        <v>0.83333331346511841</v>
      </c>
      <c r="K51" s="21">
        <v>0.82242989540100098</v>
      </c>
      <c r="L51" s="21">
        <v>0.8317757248878479</v>
      </c>
      <c r="M51" s="21">
        <v>0.86274510622024536</v>
      </c>
      <c r="N51" s="19">
        <v>2.5305149555206299</v>
      </c>
      <c r="O51" s="21">
        <v>0.84158414602279663</v>
      </c>
      <c r="P51" s="21">
        <v>0.94392526149749756</v>
      </c>
      <c r="Q51" s="21">
        <v>0.380952388048172</v>
      </c>
      <c r="R51" s="21">
        <v>3.8095239549875259E-2</v>
      </c>
      <c r="S51" s="21">
        <v>1</v>
      </c>
      <c r="T51" s="21">
        <v>0</v>
      </c>
      <c r="U51" s="2" t="s">
        <v>26</v>
      </c>
      <c r="V51" s="2"/>
      <c r="W51" s="2"/>
      <c r="X51" s="2"/>
      <c r="Y51" s="2"/>
      <c r="Z51" s="2"/>
    </row>
    <row r="52" spans="1:26" ht="12.75" customHeight="1" x14ac:dyDescent="0.25">
      <c r="A52" s="2" t="s">
        <v>69</v>
      </c>
      <c r="B52" s="26">
        <v>7.747349739074707</v>
      </c>
      <c r="C52" s="21">
        <v>0.66346156597137451</v>
      </c>
      <c r="D52" s="21">
        <v>0.86274510622024536</v>
      </c>
      <c r="E52" s="21">
        <v>0.66346156597137451</v>
      </c>
      <c r="F52" s="21">
        <v>0.65686273574829102</v>
      </c>
      <c r="G52" s="21">
        <v>0.89583331346511841</v>
      </c>
      <c r="H52" s="21">
        <v>0.79166668653488159</v>
      </c>
      <c r="I52" s="21">
        <v>0.80612242221832275</v>
      </c>
      <c r="J52" s="21">
        <v>0.83505153656005859</v>
      </c>
      <c r="K52" s="21">
        <v>0.79245281219482422</v>
      </c>
      <c r="L52" s="21">
        <v>0.78301888704299927</v>
      </c>
      <c r="M52" s="21">
        <v>0.82653063535690308</v>
      </c>
      <c r="N52" s="19">
        <v>4.4374561309814453</v>
      </c>
      <c r="O52" s="21">
        <v>0.8639456033706665</v>
      </c>
      <c r="P52" s="21">
        <v>0.74074071645736694</v>
      </c>
      <c r="Q52" s="21">
        <v>0.79047620296478271</v>
      </c>
      <c r="R52" s="21">
        <v>4.76190485060215E-2</v>
      </c>
      <c r="S52" s="21">
        <v>0.35849055647850037</v>
      </c>
      <c r="T52" s="21">
        <v>0</v>
      </c>
      <c r="U52" s="2" t="s">
        <v>15</v>
      </c>
      <c r="V52" s="2"/>
      <c r="W52" s="2"/>
      <c r="X52" s="2"/>
      <c r="Y52" s="2"/>
      <c r="Z52" s="2"/>
    </row>
    <row r="53" spans="1:26" ht="12.75" customHeight="1" x14ac:dyDescent="0.25">
      <c r="A53" s="2" t="s">
        <v>70</v>
      </c>
      <c r="B53" s="26">
        <v>7.9124264717102051</v>
      </c>
      <c r="C53" s="21">
        <v>0.58252429962158203</v>
      </c>
      <c r="D53" s="21">
        <v>0.89320385456085205</v>
      </c>
      <c r="E53" s="21">
        <v>0.64423078298568726</v>
      </c>
      <c r="F53" s="21">
        <v>0.65714287757873535</v>
      </c>
      <c r="G53" s="21">
        <v>0.92233008146286011</v>
      </c>
      <c r="H53" s="21">
        <v>0.82692307233810425</v>
      </c>
      <c r="I53" s="21">
        <v>0.88461536169052124</v>
      </c>
      <c r="J53" s="21">
        <v>0.89215683937072754</v>
      </c>
      <c r="K53" s="21">
        <v>0.8623853325843811</v>
      </c>
      <c r="L53" s="21">
        <v>0.79816514253616333</v>
      </c>
      <c r="M53" s="21">
        <v>0.89423078298568726</v>
      </c>
      <c r="N53" s="19">
        <v>1.6445865631103516</v>
      </c>
      <c r="O53" s="21">
        <v>0.65454542636871338</v>
      </c>
      <c r="P53" s="21">
        <v>0.80597013235092163</v>
      </c>
      <c r="Q53" s="21">
        <v>0.83809524774551392</v>
      </c>
      <c r="R53" s="21">
        <v>1.8691588193178177E-2</v>
      </c>
      <c r="S53" s="21">
        <v>0.9082568883895874</v>
      </c>
      <c r="T53" s="21">
        <v>1.8867924809455872E-2</v>
      </c>
      <c r="U53" s="2" t="s">
        <v>18</v>
      </c>
      <c r="V53" s="2"/>
      <c r="W53" s="2"/>
      <c r="X53" s="2"/>
      <c r="Y53" s="2"/>
      <c r="Z53" s="2"/>
    </row>
    <row r="54" spans="1:26" ht="12.75" customHeight="1" x14ac:dyDescent="0.25">
      <c r="A54" s="2" t="s">
        <v>78</v>
      </c>
      <c r="B54" s="26">
        <v>8.4389839172363281</v>
      </c>
      <c r="C54" s="21">
        <v>0.65811967849731445</v>
      </c>
      <c r="D54" s="21">
        <v>0.94999998807907104</v>
      </c>
      <c r="E54" s="21">
        <v>0.59166663885116577</v>
      </c>
      <c r="F54" s="21">
        <v>0.7350427508354187</v>
      </c>
      <c r="G54" s="21">
        <v>0.97435897588729858</v>
      </c>
      <c r="H54" s="21">
        <v>0.95726495981216431</v>
      </c>
      <c r="I54" s="21">
        <v>0.93162393569946289</v>
      </c>
      <c r="J54" s="21">
        <v>0.95726495981216431</v>
      </c>
      <c r="K54" s="21">
        <v>0.89430892467498779</v>
      </c>
      <c r="L54" s="21">
        <v>0.88617885112762451</v>
      </c>
      <c r="M54" s="21">
        <v>0.98275864124298096</v>
      </c>
      <c r="N54" s="19">
        <v>2.2825882434844971</v>
      </c>
      <c r="O54" s="21">
        <v>0.9453125</v>
      </c>
      <c r="P54" s="21">
        <v>0.62561577558517456</v>
      </c>
      <c r="Q54" s="21">
        <v>0.89915966987609863</v>
      </c>
      <c r="R54" s="21">
        <v>6.6666670143604279E-2</v>
      </c>
      <c r="S54" s="21">
        <v>0.86991870403289795</v>
      </c>
      <c r="T54" s="21">
        <v>1.652892492711544E-2</v>
      </c>
      <c r="U54" s="2" t="s">
        <v>26</v>
      </c>
      <c r="V54" s="2"/>
      <c r="W54" s="2"/>
      <c r="X54" s="2"/>
      <c r="Y54" s="2"/>
      <c r="Z54" s="2"/>
    </row>
    <row r="55" spans="1:26" ht="12.75" customHeight="1" x14ac:dyDescent="0.25">
      <c r="A55" s="2" t="s">
        <v>71</v>
      </c>
      <c r="B55" s="26">
        <v>7.5187849998474121</v>
      </c>
      <c r="C55" s="21">
        <v>0.41463413834571838</v>
      </c>
      <c r="D55" s="21">
        <v>0.95798319578170776</v>
      </c>
      <c r="E55" s="21">
        <v>0.56097561120986938</v>
      </c>
      <c r="F55" s="21">
        <v>0.43902438879013062</v>
      </c>
      <c r="G55" s="21">
        <v>0.90909093618392944</v>
      </c>
      <c r="H55" s="21">
        <v>0.875</v>
      </c>
      <c r="I55" s="21">
        <v>0.87603306770324707</v>
      </c>
      <c r="J55" s="21">
        <v>0.93388432264328003</v>
      </c>
      <c r="K55" s="21">
        <v>0.88976377248764038</v>
      </c>
      <c r="L55" s="21">
        <v>0.82677167654037476</v>
      </c>
      <c r="M55" s="21">
        <v>0.94166666269302368</v>
      </c>
      <c r="N55" s="19">
        <v>3.2672111988067627</v>
      </c>
      <c r="O55" s="21">
        <v>0.95454543828964233</v>
      </c>
      <c r="P55" s="21">
        <v>0.96153843402862549</v>
      </c>
      <c r="Q55" s="21">
        <v>0.8571428656578064</v>
      </c>
      <c r="R55" s="21">
        <v>6.4000003039836884E-2</v>
      </c>
      <c r="S55" s="21">
        <v>8.6614176630973816E-2</v>
      </c>
      <c r="T55" s="21">
        <v>0</v>
      </c>
      <c r="U55" s="2" t="s">
        <v>24</v>
      </c>
      <c r="V55" s="2"/>
      <c r="W55" s="2"/>
      <c r="X55" s="2"/>
      <c r="Y55" s="2"/>
      <c r="Z55" s="2"/>
    </row>
    <row r="56" spans="1:26" ht="12.75" customHeight="1" x14ac:dyDescent="0.25">
      <c r="A56" s="2" t="s">
        <v>72</v>
      </c>
      <c r="B56" s="26">
        <v>7.2115688323974609</v>
      </c>
      <c r="C56" s="21">
        <v>0.38211381435394287</v>
      </c>
      <c r="D56" s="21">
        <v>0.92682927846908569</v>
      </c>
      <c r="E56" s="21">
        <v>0.58536583185195923</v>
      </c>
      <c r="F56" s="21">
        <v>0.39024388790130615</v>
      </c>
      <c r="G56" s="21">
        <v>0.95041322708129883</v>
      </c>
      <c r="H56" s="21">
        <v>0.90163934230804443</v>
      </c>
      <c r="I56" s="21">
        <v>0.92500001192092896</v>
      </c>
      <c r="J56" s="21">
        <v>0.95041322708129883</v>
      </c>
      <c r="K56" s="21">
        <v>0.88976377248764038</v>
      </c>
      <c r="L56" s="21">
        <v>0.87401574850082397</v>
      </c>
      <c r="M56" s="21">
        <v>0.90082645416259766</v>
      </c>
      <c r="N56" s="19">
        <v>0.89575290679931641</v>
      </c>
      <c r="O56" s="21">
        <v>0.90625</v>
      </c>
      <c r="P56" s="21">
        <v>0.84210526943206787</v>
      </c>
      <c r="Q56" s="21">
        <v>0.87096774578094482</v>
      </c>
      <c r="R56" s="21">
        <v>8.8709674775600433E-2</v>
      </c>
      <c r="S56" s="21">
        <v>0.51968502998352051</v>
      </c>
      <c r="T56" s="21">
        <v>3.2258063554763794E-2</v>
      </c>
      <c r="U56" s="2" t="s">
        <v>21</v>
      </c>
      <c r="V56" s="2"/>
      <c r="W56" s="2"/>
      <c r="X56" s="2"/>
      <c r="Y56" s="2"/>
      <c r="Z56" s="2"/>
    </row>
    <row r="57" spans="1:26" ht="12.75" customHeight="1" x14ac:dyDescent="0.25">
      <c r="A57" s="2" t="s">
        <v>73</v>
      </c>
      <c r="B57" s="26">
        <v>7.6133818626403809</v>
      </c>
      <c r="C57" s="21">
        <v>0.35593220591545105</v>
      </c>
      <c r="D57" s="21">
        <v>0.93333333730697632</v>
      </c>
      <c r="E57" s="21">
        <v>0.6525423526763916</v>
      </c>
      <c r="F57" s="21">
        <v>0.42735043168067932</v>
      </c>
      <c r="G57" s="21">
        <v>0.94495415687561035</v>
      </c>
      <c r="H57" s="21">
        <v>0.87272727489471436</v>
      </c>
      <c r="I57" s="21">
        <v>0.88392859697341919</v>
      </c>
      <c r="J57" s="21">
        <v>0.8571428656578064</v>
      </c>
      <c r="K57" s="21">
        <v>0.83064514398574829</v>
      </c>
      <c r="L57" s="21">
        <v>0.79838711023330688</v>
      </c>
      <c r="M57" s="21">
        <v>0.92857140302658081</v>
      </c>
      <c r="N57" s="19">
        <v>3.133704662322998</v>
      </c>
      <c r="O57" s="21">
        <v>0.92307692766189575</v>
      </c>
      <c r="P57" s="21">
        <v>0.83552628755569458</v>
      </c>
      <c r="Q57" s="21">
        <v>0.87804877758026123</v>
      </c>
      <c r="R57" s="21">
        <v>7.3770493268966675E-2</v>
      </c>
      <c r="S57" s="21">
        <v>1</v>
      </c>
      <c r="T57" s="21">
        <v>5.6910570710897446E-2</v>
      </c>
      <c r="U57" s="2" t="s">
        <v>18</v>
      </c>
      <c r="V57" s="2"/>
      <c r="W57" s="2"/>
      <c r="X57" s="2"/>
      <c r="Y57" s="2"/>
      <c r="Z57" s="2"/>
    </row>
    <row r="58" spans="1:26" ht="12.75" customHeight="1" x14ac:dyDescent="0.25">
      <c r="A58" s="2" t="s">
        <v>74</v>
      </c>
      <c r="B58" s="26">
        <v>7.6354455947875977</v>
      </c>
      <c r="C58" s="21">
        <v>0.42675158381462097</v>
      </c>
      <c r="D58" s="21">
        <v>0.97484278678894043</v>
      </c>
      <c r="E58" s="21">
        <v>0.51572328805923462</v>
      </c>
      <c r="F58" s="21">
        <v>0.51265823841094971</v>
      </c>
      <c r="G58" s="21">
        <v>0.93630576133728027</v>
      </c>
      <c r="H58" s="21">
        <v>0.92356687784194946</v>
      </c>
      <c r="I58" s="21">
        <v>0.91666668653488159</v>
      </c>
      <c r="J58" s="21">
        <v>0.96153843402862549</v>
      </c>
      <c r="K58" s="21">
        <v>0.88125002384185791</v>
      </c>
      <c r="L58" s="21">
        <v>0.85624998807907104</v>
      </c>
      <c r="M58" s="21">
        <v>0.93630576133728027</v>
      </c>
      <c r="N58" s="19">
        <v>1.1917660236358643</v>
      </c>
      <c r="O58" s="21">
        <v>0.8461538553237915</v>
      </c>
      <c r="P58" s="21">
        <v>0.83576643466949463</v>
      </c>
      <c r="Q58" s="21">
        <v>0.84276729822158813</v>
      </c>
      <c r="R58" s="21">
        <v>8.2278482615947723E-2</v>
      </c>
      <c r="S58" s="21">
        <v>0.81875002384185791</v>
      </c>
      <c r="T58" s="21">
        <v>1.9108280539512634E-2</v>
      </c>
      <c r="U58" s="2" t="s">
        <v>26</v>
      </c>
      <c r="V58" s="2"/>
      <c r="W58" s="2"/>
      <c r="X58" s="2"/>
      <c r="Y58" s="2"/>
      <c r="Z58" s="2"/>
    </row>
    <row r="59" spans="1:26" ht="12.75" customHeight="1" x14ac:dyDescent="0.25">
      <c r="A59" s="2" t="s">
        <v>75</v>
      </c>
      <c r="B59" s="26">
        <v>6.6063957214355469</v>
      </c>
      <c r="C59" s="21">
        <v>0.50925928354263306</v>
      </c>
      <c r="D59" s="21">
        <v>0.87037038803100586</v>
      </c>
      <c r="E59" s="21">
        <v>0.53211009502410889</v>
      </c>
      <c r="F59" s="21">
        <v>0.55238097906112671</v>
      </c>
      <c r="G59" s="21">
        <v>0.97087377309799194</v>
      </c>
      <c r="H59" s="21">
        <v>0.91262137889862061</v>
      </c>
      <c r="I59" s="21">
        <v>0.9100000262260437</v>
      </c>
      <c r="J59" s="21">
        <v>0.86138612031936646</v>
      </c>
      <c r="K59" s="21">
        <v>0.77678573131561279</v>
      </c>
      <c r="L59" s="21">
        <v>0.75892859697341919</v>
      </c>
      <c r="M59" s="21">
        <v>0.89215683937072754</v>
      </c>
      <c r="N59" s="19">
        <v>2.1828103065490723</v>
      </c>
      <c r="O59" s="21">
        <v>1</v>
      </c>
      <c r="P59" s="21">
        <v>0.85333335399627686</v>
      </c>
      <c r="Q59" s="21">
        <v>0.65137612819671631</v>
      </c>
      <c r="R59" s="21">
        <v>0.12844036519527435</v>
      </c>
      <c r="S59" s="21">
        <v>0.3214285671710968</v>
      </c>
      <c r="T59" s="21">
        <v>8.2568809390068054E-2</v>
      </c>
      <c r="U59" s="2" t="s">
        <v>15</v>
      </c>
      <c r="V59" s="2"/>
      <c r="W59" s="2"/>
      <c r="X59" s="2"/>
      <c r="Y59" s="2"/>
      <c r="Z59" s="2"/>
    </row>
    <row r="60" spans="1:26" ht="12.75" customHeight="1" x14ac:dyDescent="0.25">
      <c r="A60" s="2" t="s">
        <v>77</v>
      </c>
      <c r="B60" s="26">
        <v>6.9774117469787598</v>
      </c>
      <c r="C60" s="21">
        <v>0.4285714328289032</v>
      </c>
      <c r="D60" s="21">
        <v>0.93000000715255737</v>
      </c>
      <c r="E60" s="21">
        <v>0.59223300218582153</v>
      </c>
      <c r="F60" s="21">
        <v>0.47422680258750916</v>
      </c>
      <c r="G60" s="21">
        <v>0.92857140302658081</v>
      </c>
      <c r="H60" s="21">
        <v>0.84536081552505493</v>
      </c>
      <c r="I60" s="21">
        <v>0.87755101919174194</v>
      </c>
      <c r="J60" s="21">
        <v>0.90721648931503296</v>
      </c>
      <c r="K60" s="21">
        <v>0.83495146036148071</v>
      </c>
      <c r="L60" s="21">
        <v>0.81553399562835693</v>
      </c>
      <c r="M60" s="21">
        <v>0.85567009449005127</v>
      </c>
      <c r="N60" s="19">
        <v>1.9299499988555908</v>
      </c>
      <c r="O60" s="21">
        <v>0.96428573131561279</v>
      </c>
      <c r="P60" s="21">
        <v>0.94915252923965454</v>
      </c>
      <c r="Q60" s="21">
        <v>0.82352942228317261</v>
      </c>
      <c r="R60" s="21">
        <v>0.1666666716337204</v>
      </c>
      <c r="S60" s="21">
        <v>0.88349515199661255</v>
      </c>
      <c r="T60" s="21">
        <v>8.7378643453121185E-2</v>
      </c>
      <c r="U60" s="2" t="s">
        <v>15</v>
      </c>
      <c r="V60" s="2"/>
      <c r="W60" s="2"/>
      <c r="X60" s="2"/>
      <c r="Y60" s="2"/>
      <c r="Z60" s="2"/>
    </row>
    <row r="61" spans="1:26" ht="12.75" customHeight="1" x14ac:dyDescent="0.25">
      <c r="A61" s="2" t="s">
        <v>79</v>
      </c>
      <c r="B61" s="26">
        <v>7.3375153541564941</v>
      </c>
      <c r="C61" s="21">
        <v>0.39393940567970276</v>
      </c>
      <c r="D61" s="21">
        <v>0.84536081552505493</v>
      </c>
      <c r="E61" s="21">
        <v>0.43000000715255737</v>
      </c>
      <c r="F61" s="21">
        <v>0.44897958636283875</v>
      </c>
      <c r="G61" s="21">
        <v>0.87368422746658325</v>
      </c>
      <c r="H61" s="21">
        <v>0.83333331346511841</v>
      </c>
      <c r="I61" s="21">
        <v>0.82105261087417603</v>
      </c>
      <c r="J61" s="21">
        <v>0.82105261087417603</v>
      </c>
      <c r="K61" s="21">
        <v>0.80769228935241699</v>
      </c>
      <c r="L61" s="21">
        <v>0.64423078298568726</v>
      </c>
      <c r="M61" s="21">
        <v>0.88421052694320679</v>
      </c>
      <c r="N61" s="19">
        <v>1.5957447290420532</v>
      </c>
      <c r="O61" s="21">
        <v>0.88235294818878174</v>
      </c>
      <c r="P61" s="21">
        <v>0.87179487943649292</v>
      </c>
      <c r="Q61" s="21">
        <v>0.87254899740219116</v>
      </c>
      <c r="R61" s="21">
        <v>9.8039219155907631E-3</v>
      </c>
      <c r="S61" s="21">
        <v>0.9038461446762085</v>
      </c>
      <c r="T61" s="21">
        <v>0</v>
      </c>
      <c r="U61" s="2" t="s">
        <v>18</v>
      </c>
      <c r="V61" s="2"/>
      <c r="W61" s="2"/>
      <c r="X61" s="2"/>
      <c r="Y61" s="2"/>
      <c r="Z61" s="2"/>
    </row>
    <row r="62" spans="1:26" ht="12.75" customHeight="1" x14ac:dyDescent="0.25">
      <c r="A62" s="2" t="s">
        <v>80</v>
      </c>
      <c r="B62" s="26">
        <v>7.3413429260253906</v>
      </c>
      <c r="C62" s="21">
        <v>0.60000002384185791</v>
      </c>
      <c r="D62" s="21">
        <v>0.95121949911117554</v>
      </c>
      <c r="E62" s="21">
        <v>0.53658539056777954</v>
      </c>
      <c r="F62" s="21">
        <v>0.62903225421905518</v>
      </c>
      <c r="G62" s="21">
        <v>0.94262295961380005</v>
      </c>
      <c r="H62" s="21">
        <v>0.91056913137435913</v>
      </c>
      <c r="I62" s="21">
        <v>0.90163934230804443</v>
      </c>
      <c r="J62" s="21">
        <v>0.95867770910263062</v>
      </c>
      <c r="K62" s="21">
        <v>0.88976377248764038</v>
      </c>
      <c r="L62" s="21">
        <v>0.85826772451400757</v>
      </c>
      <c r="M62" s="21">
        <v>0.92622953653335571</v>
      </c>
      <c r="N62" s="19">
        <v>2.323298454284668</v>
      </c>
      <c r="O62" s="21">
        <v>0.93421053886413574</v>
      </c>
      <c r="P62" s="21">
        <v>0.81318682432174683</v>
      </c>
      <c r="Q62" s="21">
        <v>0.82926827669143677</v>
      </c>
      <c r="R62" s="21">
        <v>0.17213115096092224</v>
      </c>
      <c r="S62" s="21">
        <v>0.96062994003295898</v>
      </c>
      <c r="T62" s="21">
        <v>0.10569106042385101</v>
      </c>
      <c r="U62" s="2" t="s">
        <v>15</v>
      </c>
      <c r="V62" s="2"/>
      <c r="W62" s="2"/>
      <c r="X62" s="2"/>
      <c r="Y62" s="2"/>
      <c r="Z62" s="2"/>
    </row>
    <row r="63" spans="1:26" ht="12.75" customHeight="1" x14ac:dyDescent="0.25">
      <c r="A63" s="2" t="s">
        <v>81</v>
      </c>
      <c r="B63" s="26">
        <v>7.7599868774414063</v>
      </c>
      <c r="C63" s="21">
        <v>0.50920248031616211</v>
      </c>
      <c r="D63" s="21">
        <v>0.92941176891326904</v>
      </c>
      <c r="E63" s="21">
        <v>0.4883720874786377</v>
      </c>
      <c r="F63" s="21">
        <v>0.52469134330749512</v>
      </c>
      <c r="G63" s="21">
        <v>0.93413174152374268</v>
      </c>
      <c r="H63" s="21">
        <v>0.91017961502075195</v>
      </c>
      <c r="I63" s="21">
        <v>0.88622754812240601</v>
      </c>
      <c r="J63" s="21">
        <v>0.92168676853179932</v>
      </c>
      <c r="K63" s="21">
        <v>0.8399999737739563</v>
      </c>
      <c r="L63" s="21">
        <v>0.8399999737739563</v>
      </c>
      <c r="M63" s="21">
        <v>0.92899405956268311</v>
      </c>
      <c r="N63" s="19">
        <v>1.6160376071929932</v>
      </c>
      <c r="O63" s="21">
        <v>0.78217822313308716</v>
      </c>
      <c r="P63" s="21">
        <v>0.80246913433074951</v>
      </c>
      <c r="Q63" s="21">
        <v>0.88439303636550903</v>
      </c>
      <c r="R63" s="21">
        <v>8.1395350396633148E-2</v>
      </c>
      <c r="S63" s="21">
        <v>0.87428569793701172</v>
      </c>
      <c r="T63" s="21">
        <v>0</v>
      </c>
      <c r="U63" s="2" t="s">
        <v>21</v>
      </c>
      <c r="V63" s="2"/>
      <c r="W63" s="2"/>
      <c r="X63" s="2"/>
      <c r="Y63" s="2"/>
      <c r="Z63" s="2"/>
    </row>
    <row r="64" spans="1:26" ht="12.75" customHeight="1" x14ac:dyDescent="0.25">
      <c r="A64" s="5" t="s">
        <v>82</v>
      </c>
      <c r="B64" s="27">
        <v>7.7158346176147461</v>
      </c>
      <c r="C64" s="29">
        <v>0.61904764175415039</v>
      </c>
      <c r="D64" s="29">
        <v>0.91346156597137451</v>
      </c>
      <c r="E64" s="29">
        <v>0.44761905074119568</v>
      </c>
      <c r="F64" s="29">
        <v>0.59433960914611816</v>
      </c>
      <c r="G64" s="29">
        <v>0.94117647409439087</v>
      </c>
      <c r="H64" s="29">
        <v>0.9207921028137207</v>
      </c>
      <c r="I64" s="29">
        <v>0.92156863212585449</v>
      </c>
      <c r="J64" s="29">
        <v>0.88235294818878174</v>
      </c>
      <c r="K64" s="29">
        <v>0.82727271318435669</v>
      </c>
      <c r="L64" s="29">
        <v>0.80000001192092896</v>
      </c>
      <c r="M64" s="29">
        <v>0.93203884363174438</v>
      </c>
      <c r="N64" s="28">
        <v>1.2328766584396362</v>
      </c>
      <c r="O64" s="29">
        <v>0.61363637447357178</v>
      </c>
      <c r="P64" s="29">
        <v>0.95454543828964233</v>
      </c>
      <c r="Q64" s="29">
        <v>0.71698111295700073</v>
      </c>
      <c r="R64" s="29">
        <v>1.8867924809455872E-2</v>
      </c>
      <c r="S64" s="29">
        <v>0.84545457363128662</v>
      </c>
      <c r="T64" s="29">
        <v>9.3457940965890884E-3</v>
      </c>
      <c r="U64" s="5" t="s">
        <v>18</v>
      </c>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15" t="e">
        <f>#REF!</f>
        <v>#REF!</v>
      </c>
      <c r="B66" s="16">
        <f t="shared" ref="B66:T66" si="0">SUMIF($A$2:$A$64,$A$66,B2:B64)</f>
        <v>0</v>
      </c>
      <c r="C66" s="17">
        <f t="shared" si="0"/>
        <v>0</v>
      </c>
      <c r="D66" s="17">
        <f t="shared" si="0"/>
        <v>0</v>
      </c>
      <c r="E66" s="17">
        <f t="shared" si="0"/>
        <v>0</v>
      </c>
      <c r="F66" s="17">
        <f t="shared" si="0"/>
        <v>0</v>
      </c>
      <c r="G66" s="17">
        <f t="shared" si="0"/>
        <v>0</v>
      </c>
      <c r="H66" s="17">
        <f t="shared" si="0"/>
        <v>0</v>
      </c>
      <c r="I66" s="17">
        <f t="shared" si="0"/>
        <v>0</v>
      </c>
      <c r="J66" s="17">
        <f t="shared" si="0"/>
        <v>0</v>
      </c>
      <c r="K66" s="17">
        <f t="shared" si="0"/>
        <v>0</v>
      </c>
      <c r="L66" s="17">
        <f t="shared" si="0"/>
        <v>0</v>
      </c>
      <c r="M66" s="17">
        <f t="shared" si="0"/>
        <v>0</v>
      </c>
      <c r="N66" s="16">
        <f t="shared" si="0"/>
        <v>0</v>
      </c>
      <c r="O66" s="17">
        <f t="shared" si="0"/>
        <v>0</v>
      </c>
      <c r="P66" s="17">
        <f t="shared" si="0"/>
        <v>0</v>
      </c>
      <c r="Q66" s="17">
        <f t="shared" si="0"/>
        <v>0</v>
      </c>
      <c r="R66" s="17">
        <f t="shared" si="0"/>
        <v>0</v>
      </c>
      <c r="S66" s="17">
        <f t="shared" si="0"/>
        <v>0</v>
      </c>
      <c r="T66" s="17">
        <f t="shared" si="0"/>
        <v>0</v>
      </c>
      <c r="U66" s="2"/>
      <c r="V66" s="2"/>
      <c r="W66" s="2"/>
      <c r="X66" s="2"/>
      <c r="Y66" s="2"/>
      <c r="Z66" s="2"/>
    </row>
    <row r="67" spans="1:26" ht="12.75" customHeight="1" x14ac:dyDescent="0.25">
      <c r="A67" s="2" t="s">
        <v>102</v>
      </c>
      <c r="B67" s="19">
        <f t="shared" ref="B67:T67" si="1">MIN(B2:B64)</f>
        <v>6.3097176551818848</v>
      </c>
      <c r="C67" s="21">
        <f t="shared" si="1"/>
        <v>0.23333333432674408</v>
      </c>
      <c r="D67" s="21">
        <f t="shared" si="1"/>
        <v>0.74576270580291748</v>
      </c>
      <c r="E67" s="21">
        <f t="shared" si="1"/>
        <v>0.32323232293128967</v>
      </c>
      <c r="F67" s="21">
        <f t="shared" si="1"/>
        <v>0.34259259700775146</v>
      </c>
      <c r="G67" s="21">
        <f t="shared" si="1"/>
        <v>0.81081080436706543</v>
      </c>
      <c r="H67" s="21">
        <f t="shared" si="1"/>
        <v>0.77678573131561279</v>
      </c>
      <c r="I67" s="21">
        <f t="shared" si="1"/>
        <v>0.76923078298568726</v>
      </c>
      <c r="J67" s="21">
        <f t="shared" si="1"/>
        <v>0.78448277711868286</v>
      </c>
      <c r="K67" s="21">
        <f t="shared" si="1"/>
        <v>0.71428573131561279</v>
      </c>
      <c r="L67" s="21">
        <f t="shared" si="1"/>
        <v>0.64423078298568726</v>
      </c>
      <c r="M67" s="21">
        <f t="shared" si="1"/>
        <v>0.80000001192092896</v>
      </c>
      <c r="N67" s="19">
        <f t="shared" si="1"/>
        <v>0.32388663291931152</v>
      </c>
      <c r="O67" s="21">
        <f t="shared" si="1"/>
        <v>0.33076924085617065</v>
      </c>
      <c r="P67" s="21">
        <f t="shared" si="1"/>
        <v>0.4375</v>
      </c>
      <c r="Q67" s="21">
        <f t="shared" si="1"/>
        <v>0.28358209133148193</v>
      </c>
      <c r="R67" s="21">
        <f t="shared" si="1"/>
        <v>9.8039219155907631E-3</v>
      </c>
      <c r="S67" s="21">
        <f t="shared" si="1"/>
        <v>6.4516128040850163E-3</v>
      </c>
      <c r="T67" s="21">
        <f t="shared" si="1"/>
        <v>0</v>
      </c>
      <c r="U67" s="2"/>
      <c r="V67" s="2"/>
      <c r="W67" s="2"/>
      <c r="X67" s="2"/>
      <c r="Y67" s="2"/>
      <c r="Z67" s="2"/>
    </row>
    <row r="68" spans="1:26" ht="12.75" customHeight="1" x14ac:dyDescent="0.25">
      <c r="A68" s="2" t="s">
        <v>103</v>
      </c>
      <c r="B68" s="19">
        <f t="shared" ref="B68:T68" si="2">MEDIAN(B2:B64)</f>
        <v>7.5457963943481445</v>
      </c>
      <c r="C68" s="21">
        <f t="shared" si="2"/>
        <v>0.53333336114883423</v>
      </c>
      <c r="D68" s="21">
        <f t="shared" si="2"/>
        <v>0.90839695930480957</v>
      </c>
      <c r="E68" s="21">
        <f t="shared" si="2"/>
        <v>0.58865249156951904</v>
      </c>
      <c r="F68" s="21">
        <f t="shared" si="2"/>
        <v>0.52469134330749512</v>
      </c>
      <c r="G68" s="21">
        <f t="shared" si="2"/>
        <v>0.92647057771682739</v>
      </c>
      <c r="H68" s="21">
        <f t="shared" si="2"/>
        <v>0.87591242790222168</v>
      </c>
      <c r="I68" s="21">
        <f t="shared" si="2"/>
        <v>0.87878787517547607</v>
      </c>
      <c r="J68" s="21">
        <f t="shared" si="2"/>
        <v>0.89215683937072754</v>
      </c>
      <c r="K68" s="21">
        <f t="shared" si="2"/>
        <v>0.8461538553237915</v>
      </c>
      <c r="L68" s="21">
        <f t="shared" si="2"/>
        <v>0.80985915660858154</v>
      </c>
      <c r="M68" s="21">
        <f t="shared" si="2"/>
        <v>0.91005289554595947</v>
      </c>
      <c r="N68" s="19">
        <f t="shared" si="2"/>
        <v>1.6160376071929932</v>
      </c>
      <c r="O68" s="21">
        <f t="shared" si="2"/>
        <v>0.90594059228897095</v>
      </c>
      <c r="P68" s="21">
        <f t="shared" si="2"/>
        <v>0.83552628755569458</v>
      </c>
      <c r="Q68" s="21">
        <f t="shared" si="2"/>
        <v>0.83478260040283203</v>
      </c>
      <c r="R68" s="21">
        <f t="shared" si="2"/>
        <v>5.2631579339504242E-2</v>
      </c>
      <c r="S68" s="21">
        <f t="shared" si="2"/>
        <v>0.71851849555969238</v>
      </c>
      <c r="T68" s="21">
        <f t="shared" si="2"/>
        <v>9.4339624047279358E-3</v>
      </c>
      <c r="U68" s="2"/>
      <c r="V68" s="2"/>
      <c r="W68" s="2"/>
      <c r="X68" s="2"/>
      <c r="Y68" s="2"/>
      <c r="Z68" s="2"/>
    </row>
    <row r="69" spans="1:26" ht="12.75" customHeight="1" x14ac:dyDescent="0.25">
      <c r="A69" s="2" t="s">
        <v>104</v>
      </c>
      <c r="B69" s="19">
        <f t="shared" ref="B69:T69" si="3">MAX(B2:B64)</f>
        <v>8.4425697326660156</v>
      </c>
      <c r="C69" s="21">
        <f t="shared" si="3"/>
        <v>0.69696968793869019</v>
      </c>
      <c r="D69" s="21">
        <f t="shared" si="3"/>
        <v>0.99418604373931885</v>
      </c>
      <c r="E69" s="21">
        <f t="shared" si="3"/>
        <v>0.746268630027771</v>
      </c>
      <c r="F69" s="21">
        <f t="shared" si="3"/>
        <v>0.75384616851806641</v>
      </c>
      <c r="G69" s="21">
        <f t="shared" si="3"/>
        <v>0.9922480583190918</v>
      </c>
      <c r="H69" s="21">
        <f t="shared" si="3"/>
        <v>0.96124029159545898</v>
      </c>
      <c r="I69" s="21">
        <f t="shared" si="3"/>
        <v>0.96875</v>
      </c>
      <c r="J69" s="21">
        <f t="shared" si="3"/>
        <v>0.99230766296386719</v>
      </c>
      <c r="K69" s="21">
        <f t="shared" si="3"/>
        <v>0.96460175514221191</v>
      </c>
      <c r="L69" s="21">
        <f t="shared" si="3"/>
        <v>0.94690263271331787</v>
      </c>
      <c r="M69" s="21">
        <f t="shared" si="3"/>
        <v>0.98461538553237915</v>
      </c>
      <c r="N69" s="19">
        <f t="shared" si="3"/>
        <v>4.4374561309814453</v>
      </c>
      <c r="O69" s="21">
        <f t="shared" si="3"/>
        <v>1</v>
      </c>
      <c r="P69" s="21">
        <f t="shared" si="3"/>
        <v>0.98275864124298096</v>
      </c>
      <c r="Q69" s="21">
        <f t="shared" si="3"/>
        <v>0.94736844301223755</v>
      </c>
      <c r="R69" s="21">
        <f t="shared" si="3"/>
        <v>0.17213115096092224</v>
      </c>
      <c r="S69" s="21">
        <f t="shared" si="3"/>
        <v>1</v>
      </c>
      <c r="T69" s="21">
        <f t="shared" si="3"/>
        <v>0.10569106042385101</v>
      </c>
      <c r="U69" s="2"/>
      <c r="V69" s="2"/>
      <c r="W69" s="2"/>
      <c r="X69" s="2"/>
      <c r="Y69" s="2"/>
      <c r="Z69" s="2"/>
    </row>
    <row r="70" spans="1:26" ht="12.75" customHeight="1" x14ac:dyDescent="0.25">
      <c r="A70" s="2" t="s">
        <v>105</v>
      </c>
      <c r="B70" s="10" t="e">
        <f t="shared" ref="B70:Q70" si="4">RANK(B66,B2:B64,0)</f>
        <v>#N/A</v>
      </c>
      <c r="C70" s="10" t="e">
        <f t="shared" si="4"/>
        <v>#N/A</v>
      </c>
      <c r="D70" s="10" t="e">
        <f t="shared" si="4"/>
        <v>#N/A</v>
      </c>
      <c r="E70" s="10" t="e">
        <f t="shared" si="4"/>
        <v>#N/A</v>
      </c>
      <c r="F70" s="10" t="e">
        <f t="shared" si="4"/>
        <v>#N/A</v>
      </c>
      <c r="G70" s="10" t="e">
        <f t="shared" si="4"/>
        <v>#N/A</v>
      </c>
      <c r="H70" s="10" t="e">
        <f t="shared" si="4"/>
        <v>#N/A</v>
      </c>
      <c r="I70" s="10" t="e">
        <f t="shared" si="4"/>
        <v>#N/A</v>
      </c>
      <c r="J70" s="10" t="e">
        <f t="shared" si="4"/>
        <v>#N/A</v>
      </c>
      <c r="K70" s="10" t="e">
        <f t="shared" si="4"/>
        <v>#N/A</v>
      </c>
      <c r="L70" s="10" t="e">
        <f t="shared" si="4"/>
        <v>#N/A</v>
      </c>
      <c r="M70" s="10" t="e">
        <f t="shared" si="4"/>
        <v>#N/A</v>
      </c>
      <c r="N70" s="10" t="e">
        <f t="shared" si="4"/>
        <v>#N/A</v>
      </c>
      <c r="O70" s="10" t="e">
        <f t="shared" si="4"/>
        <v>#N/A</v>
      </c>
      <c r="P70" s="10" t="e">
        <f t="shared" si="4"/>
        <v>#N/A</v>
      </c>
      <c r="Q70" s="10" t="e">
        <f t="shared" si="4"/>
        <v>#N/A</v>
      </c>
      <c r="R70" s="10" t="e">
        <f>RANK(R66,R2:R64,1)</f>
        <v>#N/A</v>
      </c>
      <c r="S70" s="10" t="e">
        <f>RANK(S66,S2:S64,0)</f>
        <v>#N/A</v>
      </c>
      <c r="T70" s="10">
        <f>RANK(T66,T2:T64,1)</f>
        <v>1</v>
      </c>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E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ColWidth="14.42578125" defaultRowHeight="15" customHeight="1" x14ac:dyDescent="0.25"/>
  <sheetData>
    <row r="1" spans="1:5" x14ac:dyDescent="0.25">
      <c r="A1" s="1" t="s">
        <v>0</v>
      </c>
      <c r="B1" s="1" t="s">
        <v>230</v>
      </c>
      <c r="C1" s="1" t="s">
        <v>231</v>
      </c>
      <c r="D1" s="1" t="s">
        <v>232</v>
      </c>
      <c r="E1" s="1" t="s">
        <v>233</v>
      </c>
    </row>
    <row r="2" spans="1:5" x14ac:dyDescent="0.25">
      <c r="A2" s="2" t="s">
        <v>14</v>
      </c>
      <c r="B2" s="42">
        <v>1.510491054791</v>
      </c>
      <c r="C2" s="43">
        <v>3536.8</v>
      </c>
      <c r="D2" s="43">
        <v>1912.6</v>
      </c>
      <c r="E2" s="42">
        <v>540.79999999999995</v>
      </c>
    </row>
    <row r="3" spans="1:5" x14ac:dyDescent="0.25">
      <c r="A3" s="2" t="s">
        <v>16</v>
      </c>
      <c r="B3" s="42">
        <v>0.96578626350399999</v>
      </c>
      <c r="C3" s="43">
        <v>1982.6</v>
      </c>
      <c r="D3" s="43">
        <v>1194.5999999999999</v>
      </c>
      <c r="E3" s="42">
        <v>602.6</v>
      </c>
    </row>
    <row r="4" spans="1:5" x14ac:dyDescent="0.25">
      <c r="A4" s="2" t="s">
        <v>17</v>
      </c>
      <c r="B4" s="42">
        <v>1.5775897128680001</v>
      </c>
      <c r="C4" s="43">
        <v>3895.9</v>
      </c>
      <c r="D4" s="43">
        <v>1962.6</v>
      </c>
      <c r="E4" s="42">
        <v>503.8</v>
      </c>
    </row>
    <row r="5" spans="1:5" x14ac:dyDescent="0.25">
      <c r="A5" s="2" t="s">
        <v>19</v>
      </c>
      <c r="B5" s="42">
        <v>0.86758326653600004</v>
      </c>
      <c r="C5" s="43">
        <v>4853.3</v>
      </c>
      <c r="D5" s="42">
        <v>329.3</v>
      </c>
      <c r="E5" s="42">
        <v>67.900000000000006</v>
      </c>
    </row>
    <row r="6" spans="1:5" x14ac:dyDescent="0.25">
      <c r="A6" s="2" t="s">
        <v>20</v>
      </c>
      <c r="B6" s="42">
        <v>0.82691187502499996</v>
      </c>
      <c r="C6" s="43">
        <v>2667.9</v>
      </c>
      <c r="D6" s="42">
        <v>928.7</v>
      </c>
      <c r="E6" s="42">
        <v>348.1</v>
      </c>
    </row>
    <row r="7" spans="1:5" x14ac:dyDescent="0.25">
      <c r="A7" s="2" t="s">
        <v>22</v>
      </c>
      <c r="B7" s="42">
        <v>1.7924403164</v>
      </c>
      <c r="C7" s="42">
        <v>822.7</v>
      </c>
      <c r="D7" s="43">
        <v>1546.6</v>
      </c>
      <c r="E7" s="43">
        <v>1879.9</v>
      </c>
    </row>
    <row r="8" spans="1:5" x14ac:dyDescent="0.25">
      <c r="A8" s="2" t="s">
        <v>23</v>
      </c>
      <c r="B8" s="42">
        <v>1.0509215160980001</v>
      </c>
      <c r="C8" s="43">
        <v>2379.6999999999998</v>
      </c>
      <c r="D8" s="43">
        <v>1306.3</v>
      </c>
      <c r="E8" s="42">
        <v>548.9</v>
      </c>
    </row>
    <row r="9" spans="1:5" x14ac:dyDescent="0.25">
      <c r="A9" s="2" t="s">
        <v>25</v>
      </c>
      <c r="B9" s="42">
        <v>1.6910488806549999</v>
      </c>
      <c r="C9" s="43">
        <v>6066.4</v>
      </c>
      <c r="D9" s="43">
        <v>1518.5</v>
      </c>
      <c r="E9" s="42">
        <v>250.3</v>
      </c>
    </row>
    <row r="10" spans="1:5" x14ac:dyDescent="0.25">
      <c r="A10" s="2" t="s">
        <v>27</v>
      </c>
      <c r="B10" s="42">
        <v>2.0663480599040001</v>
      </c>
      <c r="C10" s="43">
        <v>2694.6</v>
      </c>
      <c r="D10" s="43">
        <v>2870.6</v>
      </c>
      <c r="E10" s="43">
        <v>1065.3</v>
      </c>
    </row>
    <row r="11" spans="1:5" x14ac:dyDescent="0.25">
      <c r="A11" s="2" t="s">
        <v>28</v>
      </c>
      <c r="B11" s="42">
        <v>1.626828694052</v>
      </c>
      <c r="C11" s="43">
        <v>6873.6</v>
      </c>
      <c r="D11" s="43">
        <v>1062.3</v>
      </c>
      <c r="E11" s="42">
        <v>154.5</v>
      </c>
    </row>
    <row r="12" spans="1:5" x14ac:dyDescent="0.25">
      <c r="A12" s="2" t="s">
        <v>29</v>
      </c>
      <c r="B12" s="42">
        <v>1.9317089172769999</v>
      </c>
      <c r="C12" s="43">
        <v>7942.6</v>
      </c>
      <c r="D12" s="43">
        <v>1266.2</v>
      </c>
      <c r="E12" s="42">
        <v>159.4</v>
      </c>
    </row>
    <row r="13" spans="1:5" x14ac:dyDescent="0.25">
      <c r="A13" s="2" t="s">
        <v>30</v>
      </c>
      <c r="B13" s="42">
        <v>1.39646511709</v>
      </c>
      <c r="C13" s="43">
        <v>5274.5</v>
      </c>
      <c r="D13" s="42">
        <v>1212</v>
      </c>
      <c r="E13" s="42">
        <v>229.8</v>
      </c>
    </row>
    <row r="14" spans="1:5" x14ac:dyDescent="0.25">
      <c r="A14" s="2" t="s">
        <v>31</v>
      </c>
      <c r="B14" s="42">
        <v>1.085924508031</v>
      </c>
      <c r="C14" s="43">
        <v>1440.4</v>
      </c>
      <c r="D14" s="43">
        <v>1271.7</v>
      </c>
      <c r="E14" s="42">
        <v>882.9</v>
      </c>
    </row>
    <row r="15" spans="1:5" x14ac:dyDescent="0.25">
      <c r="A15" s="2" t="s">
        <v>32</v>
      </c>
      <c r="B15" s="42">
        <v>1.354977197875</v>
      </c>
      <c r="C15" s="43">
        <v>6700.4</v>
      </c>
      <c r="D15" s="42">
        <v>558.5</v>
      </c>
      <c r="E15" s="42">
        <v>83.3</v>
      </c>
    </row>
    <row r="16" spans="1:5" x14ac:dyDescent="0.25">
      <c r="A16" s="2" t="s">
        <v>33</v>
      </c>
      <c r="B16" s="42">
        <v>1.136050042538</v>
      </c>
      <c r="C16" s="43">
        <v>1284.7</v>
      </c>
      <c r="D16" s="42">
        <v>1276</v>
      </c>
      <c r="E16" s="42">
        <v>993.2</v>
      </c>
    </row>
    <row r="17" spans="1:5" x14ac:dyDescent="0.25">
      <c r="A17" s="2" t="s">
        <v>34</v>
      </c>
      <c r="B17" s="42">
        <v>3.2611465369650001</v>
      </c>
      <c r="C17" s="42">
        <v>13070.4</v>
      </c>
      <c r="D17" s="43">
        <v>1946.2</v>
      </c>
      <c r="E17" s="42">
        <v>148.9</v>
      </c>
    </row>
    <row r="18" spans="1:5" x14ac:dyDescent="0.25">
      <c r="A18" s="2" t="s">
        <v>36</v>
      </c>
      <c r="B18" s="42">
        <v>1.3814246616750001</v>
      </c>
      <c r="C18" s="43">
        <v>6509.3</v>
      </c>
      <c r="D18" s="42">
        <v>695.7</v>
      </c>
      <c r="E18" s="42">
        <v>106.9</v>
      </c>
    </row>
    <row r="19" spans="1:5" x14ac:dyDescent="0.25">
      <c r="A19" s="2" t="s">
        <v>37</v>
      </c>
      <c r="B19" s="42">
        <v>1.984020452664</v>
      </c>
      <c r="C19" s="43">
        <v>9539.9</v>
      </c>
      <c r="D19" s="42">
        <v>656.7</v>
      </c>
      <c r="E19" s="42">
        <v>68.8</v>
      </c>
    </row>
    <row r="20" spans="1:5" x14ac:dyDescent="0.25">
      <c r="A20" s="2" t="s">
        <v>38</v>
      </c>
      <c r="B20" s="42">
        <v>2.5557979885890001</v>
      </c>
      <c r="C20" s="43">
        <v>5863.6</v>
      </c>
      <c r="D20" s="43">
        <v>3365.4</v>
      </c>
      <c r="E20" s="42">
        <v>574</v>
      </c>
    </row>
    <row r="21" spans="1:5" x14ac:dyDescent="0.25">
      <c r="A21" s="2" t="s">
        <v>39</v>
      </c>
      <c r="B21" s="42">
        <v>1.3149996086069999</v>
      </c>
      <c r="C21" s="43">
        <v>3382.3</v>
      </c>
      <c r="D21" s="43">
        <v>1601.1</v>
      </c>
      <c r="E21" s="42">
        <v>473.4</v>
      </c>
    </row>
    <row r="22" spans="1:5" x14ac:dyDescent="0.25">
      <c r="A22" s="2" t="s">
        <v>40</v>
      </c>
      <c r="B22" s="42">
        <v>3.6354896075549998</v>
      </c>
      <c r="C22" s="42">
        <v>15510.1</v>
      </c>
      <c r="D22" s="43">
        <v>1634.9</v>
      </c>
      <c r="E22" s="42">
        <v>105.4</v>
      </c>
    </row>
    <row r="23" spans="1:5" x14ac:dyDescent="0.25">
      <c r="A23" s="2" t="s">
        <v>41</v>
      </c>
      <c r="B23" s="42">
        <v>1.7672767327500001</v>
      </c>
      <c r="C23" s="43">
        <v>7927.6</v>
      </c>
      <c r="D23" s="42">
        <v>911.4</v>
      </c>
      <c r="E23" s="42">
        <v>115</v>
      </c>
    </row>
    <row r="24" spans="1:5" x14ac:dyDescent="0.25">
      <c r="A24" s="2" t="s">
        <v>42</v>
      </c>
      <c r="B24" s="42">
        <v>0.94077229832200004</v>
      </c>
      <c r="C24" s="42">
        <v>861.9</v>
      </c>
      <c r="D24" s="42">
        <v>894.2</v>
      </c>
      <c r="E24" s="43">
        <v>1037.5</v>
      </c>
    </row>
    <row r="25" spans="1:5" x14ac:dyDescent="0.25">
      <c r="A25" s="2" t="s">
        <v>43</v>
      </c>
      <c r="B25" s="42">
        <v>5.4559852848399997</v>
      </c>
      <c r="C25" s="43">
        <v>3359.8</v>
      </c>
      <c r="D25" s="43">
        <v>8717.6</v>
      </c>
      <c r="E25" s="43">
        <v>2594.6999999999998</v>
      </c>
    </row>
    <row r="26" spans="1:5" x14ac:dyDescent="0.25">
      <c r="A26" s="2" t="s">
        <v>44</v>
      </c>
      <c r="B26" s="42">
        <v>1.5863736374499999</v>
      </c>
      <c r="C26" s="43">
        <v>5994.5</v>
      </c>
      <c r="D26" s="43">
        <v>1329.8</v>
      </c>
      <c r="E26" s="42">
        <v>221.8</v>
      </c>
    </row>
    <row r="27" spans="1:5" x14ac:dyDescent="0.25">
      <c r="A27" s="2" t="s">
        <v>45</v>
      </c>
      <c r="B27" s="42">
        <v>1.6143741133480001</v>
      </c>
      <c r="C27" s="43">
        <v>1668.3</v>
      </c>
      <c r="D27" s="43">
        <v>1978.2</v>
      </c>
      <c r="E27" s="43">
        <v>1185.8</v>
      </c>
    </row>
    <row r="28" spans="1:5" x14ac:dyDescent="0.25">
      <c r="A28" s="2" t="s">
        <v>46</v>
      </c>
      <c r="B28" s="42">
        <v>1.789694673713</v>
      </c>
      <c r="C28" s="43">
        <v>1526.4</v>
      </c>
      <c r="D28" s="43">
        <v>2124.5</v>
      </c>
      <c r="E28" s="43">
        <v>1391.8</v>
      </c>
    </row>
    <row r="29" spans="1:5" x14ac:dyDescent="0.25">
      <c r="A29" s="2" t="s">
        <v>47</v>
      </c>
      <c r="B29" s="42">
        <v>0.60798225102600001</v>
      </c>
      <c r="C29" s="43">
        <v>1622.2</v>
      </c>
      <c r="D29" s="42">
        <v>730</v>
      </c>
      <c r="E29" s="42">
        <v>450</v>
      </c>
    </row>
    <row r="30" spans="1:5" x14ac:dyDescent="0.25">
      <c r="A30" s="2" t="s">
        <v>48</v>
      </c>
      <c r="B30" s="42">
        <v>1.110186780559</v>
      </c>
      <c r="C30" s="43">
        <v>4590.8</v>
      </c>
      <c r="D30" s="42">
        <v>894.5</v>
      </c>
      <c r="E30" s="42">
        <v>194.8</v>
      </c>
    </row>
    <row r="31" spans="1:5" x14ac:dyDescent="0.25">
      <c r="A31" s="2" t="s">
        <v>49</v>
      </c>
      <c r="B31" s="42">
        <v>1.389766583304</v>
      </c>
      <c r="C31" s="42">
        <v>930.2</v>
      </c>
      <c r="D31" s="43">
        <v>1318.1</v>
      </c>
      <c r="E31" s="42">
        <v>1417</v>
      </c>
    </row>
    <row r="32" spans="1:5" x14ac:dyDescent="0.25">
      <c r="A32" s="2" t="s">
        <v>50</v>
      </c>
      <c r="B32" s="42">
        <v>1.411953675438</v>
      </c>
      <c r="C32" s="43">
        <v>5200.1000000000004</v>
      </c>
      <c r="D32" s="43">
        <v>1269.3</v>
      </c>
      <c r="E32" s="42">
        <v>244.1</v>
      </c>
    </row>
    <row r="33" spans="1:5" x14ac:dyDescent="0.25">
      <c r="A33" s="2" t="s">
        <v>51</v>
      </c>
      <c r="B33" s="42">
        <v>1.862227806585</v>
      </c>
      <c r="C33" s="43">
        <v>6352.1</v>
      </c>
      <c r="D33" s="43">
        <v>1766.7</v>
      </c>
      <c r="E33" s="42">
        <v>278.10000000000002</v>
      </c>
    </row>
    <row r="34" spans="1:5" x14ac:dyDescent="0.25">
      <c r="A34" s="2" t="s">
        <v>52</v>
      </c>
      <c r="B34" s="42">
        <v>1.9885105221899999</v>
      </c>
      <c r="C34" s="43">
        <v>9677.2999999999993</v>
      </c>
      <c r="D34" s="42">
        <v>601.79999999999995</v>
      </c>
      <c r="E34" s="42">
        <v>62.2</v>
      </c>
    </row>
    <row r="35" spans="1:5" x14ac:dyDescent="0.25">
      <c r="A35" s="2" t="s">
        <v>53</v>
      </c>
      <c r="B35" s="42">
        <v>1.8149131119819999</v>
      </c>
      <c r="C35" s="43">
        <v>9068.7000000000007</v>
      </c>
      <c r="D35" s="42">
        <v>495.5</v>
      </c>
      <c r="E35" s="42">
        <v>54.6</v>
      </c>
    </row>
    <row r="36" spans="1:5" x14ac:dyDescent="0.25">
      <c r="A36" s="2" t="s">
        <v>54</v>
      </c>
      <c r="B36" s="42">
        <v>2.3429202658600001</v>
      </c>
      <c r="C36" s="43">
        <v>9781.2000000000007</v>
      </c>
      <c r="D36" s="43">
        <v>1362.5</v>
      </c>
      <c r="E36" s="42">
        <v>139.30000000000001</v>
      </c>
    </row>
    <row r="37" spans="1:5" x14ac:dyDescent="0.25">
      <c r="A37" s="2" t="s">
        <v>55</v>
      </c>
      <c r="B37" s="42">
        <v>1.800868205959</v>
      </c>
      <c r="C37" s="43">
        <v>8310.2000000000007</v>
      </c>
      <c r="D37" s="42">
        <v>814</v>
      </c>
      <c r="E37" s="42">
        <v>98</v>
      </c>
    </row>
    <row r="38" spans="1:5" x14ac:dyDescent="0.25">
      <c r="A38" s="2" t="s">
        <v>56</v>
      </c>
      <c r="B38" s="42">
        <v>1.398514495361</v>
      </c>
      <c r="C38" s="43">
        <v>6364.3</v>
      </c>
      <c r="D38" s="42">
        <v>792.2</v>
      </c>
      <c r="E38" s="42">
        <v>124.5</v>
      </c>
    </row>
    <row r="39" spans="1:5" x14ac:dyDescent="0.25">
      <c r="A39" s="2" t="s">
        <v>57</v>
      </c>
      <c r="B39" s="42">
        <v>1.546594236529</v>
      </c>
      <c r="C39" s="43">
        <v>4494.8</v>
      </c>
      <c r="D39" s="43">
        <v>1756.2</v>
      </c>
      <c r="E39" s="42">
        <v>390.7</v>
      </c>
    </row>
    <row r="40" spans="1:5" x14ac:dyDescent="0.25">
      <c r="A40" s="2" t="s">
        <v>58</v>
      </c>
      <c r="B40" s="42">
        <v>1.54646333638</v>
      </c>
      <c r="C40" s="43">
        <v>1668.8</v>
      </c>
      <c r="D40" s="43">
        <v>1894.2</v>
      </c>
      <c r="E40" s="42">
        <v>1135</v>
      </c>
    </row>
    <row r="41" spans="1:5" x14ac:dyDescent="0.25">
      <c r="A41" s="2" t="s">
        <v>59</v>
      </c>
      <c r="B41" s="42">
        <v>4.5858897100759997</v>
      </c>
      <c r="C41" s="42">
        <v>16486.5</v>
      </c>
      <c r="D41" s="43">
        <v>3472.3</v>
      </c>
      <c r="E41" s="42">
        <v>210.6</v>
      </c>
    </row>
    <row r="42" spans="1:5" x14ac:dyDescent="0.25">
      <c r="A42" s="2" t="s">
        <v>60</v>
      </c>
      <c r="B42" s="42">
        <v>0.87912413109900001</v>
      </c>
      <c r="C42" s="43">
        <v>1411.9</v>
      </c>
      <c r="D42" s="43">
        <v>1030.3</v>
      </c>
      <c r="E42" s="42">
        <v>729.8</v>
      </c>
    </row>
    <row r="43" spans="1:5" x14ac:dyDescent="0.25">
      <c r="A43" s="2" t="s">
        <v>61</v>
      </c>
      <c r="B43" s="42">
        <v>0.73639270229300002</v>
      </c>
      <c r="C43" s="43">
        <v>3355.8</v>
      </c>
      <c r="D43" s="42">
        <v>612.70000000000005</v>
      </c>
      <c r="E43" s="42">
        <v>182.6</v>
      </c>
    </row>
    <row r="44" spans="1:5" x14ac:dyDescent="0.25">
      <c r="A44" s="2" t="s">
        <v>62</v>
      </c>
      <c r="B44" s="42">
        <v>1.2996062088110001</v>
      </c>
      <c r="C44" s="43">
        <v>3534.6</v>
      </c>
      <c r="D44" s="43">
        <v>1543.9</v>
      </c>
      <c r="E44" s="42">
        <v>436.8</v>
      </c>
    </row>
    <row r="45" spans="1:5" x14ac:dyDescent="0.25">
      <c r="A45" s="2" t="s">
        <v>63</v>
      </c>
      <c r="B45" s="42">
        <v>1.1855832836710001</v>
      </c>
      <c r="C45" s="42">
        <v>5026</v>
      </c>
      <c r="D45" s="42">
        <v>885.2</v>
      </c>
      <c r="E45" s="42">
        <v>176.1</v>
      </c>
    </row>
    <row r="46" spans="1:5" x14ac:dyDescent="0.25">
      <c r="A46" s="2" t="s">
        <v>64</v>
      </c>
      <c r="B46" s="42">
        <v>1.7877204235090001</v>
      </c>
      <c r="C46" s="43">
        <v>7998.8</v>
      </c>
      <c r="D46" s="42">
        <v>924.8</v>
      </c>
      <c r="E46" s="42">
        <v>115.6</v>
      </c>
    </row>
    <row r="47" spans="1:5" x14ac:dyDescent="0.25">
      <c r="A47" s="2" t="s">
        <v>65</v>
      </c>
      <c r="B47" s="42">
        <v>2.5824091122269999</v>
      </c>
      <c r="C47" s="42">
        <v>10574.9</v>
      </c>
      <c r="D47" s="43">
        <v>1543.9</v>
      </c>
      <c r="E47" s="42">
        <v>146</v>
      </c>
    </row>
    <row r="48" spans="1:5" x14ac:dyDescent="0.25">
      <c r="A48" s="2" t="s">
        <v>66</v>
      </c>
      <c r="B48" s="42">
        <v>1.399241726786</v>
      </c>
      <c r="C48" s="43">
        <v>5155.3</v>
      </c>
      <c r="D48" s="43">
        <v>1259.9000000000001</v>
      </c>
      <c r="E48" s="42">
        <v>244.4</v>
      </c>
    </row>
    <row r="49" spans="1:5" x14ac:dyDescent="0.25">
      <c r="A49" s="2" t="s">
        <v>67</v>
      </c>
      <c r="B49" s="42">
        <v>1.658307014719</v>
      </c>
      <c r="C49" s="42">
        <v>6208</v>
      </c>
      <c r="D49" s="43">
        <v>1396.5</v>
      </c>
      <c r="E49" s="42">
        <v>225</v>
      </c>
    </row>
    <row r="50" spans="1:5" x14ac:dyDescent="0.25">
      <c r="A50" s="2" t="s">
        <v>68</v>
      </c>
      <c r="B50" s="42">
        <v>1.0081146815990001</v>
      </c>
      <c r="C50" s="43">
        <v>4701.2</v>
      </c>
      <c r="D50" s="42">
        <v>659.2</v>
      </c>
      <c r="E50" s="42">
        <v>140.19999999999999</v>
      </c>
    </row>
    <row r="51" spans="1:5" x14ac:dyDescent="0.25">
      <c r="A51" s="2" t="s">
        <v>69</v>
      </c>
      <c r="B51" s="42">
        <v>1.0739935503669999</v>
      </c>
      <c r="C51" s="43">
        <v>3298.2</v>
      </c>
      <c r="D51" s="43">
        <v>1205.3</v>
      </c>
      <c r="E51" s="42">
        <v>365.5</v>
      </c>
    </row>
    <row r="52" spans="1:5" x14ac:dyDescent="0.25">
      <c r="A52" s="2" t="s">
        <v>70</v>
      </c>
      <c r="B52" s="42">
        <v>3.2190026480889999</v>
      </c>
      <c r="C52" s="42">
        <v>14108.9</v>
      </c>
      <c r="D52" s="43">
        <v>1330.6</v>
      </c>
      <c r="E52" s="42">
        <v>94.3</v>
      </c>
    </row>
    <row r="53" spans="1:5" x14ac:dyDescent="0.25">
      <c r="A53" s="2" t="s">
        <v>71</v>
      </c>
      <c r="B53" s="42">
        <v>1.181013303044</v>
      </c>
      <c r="C53" s="43">
        <v>4041.7</v>
      </c>
      <c r="D53" s="43">
        <v>1202.8</v>
      </c>
      <c r="E53" s="42">
        <v>297.60000000000002</v>
      </c>
    </row>
    <row r="54" spans="1:5" x14ac:dyDescent="0.25">
      <c r="A54" s="2" t="s">
        <v>72</v>
      </c>
      <c r="B54" s="42">
        <v>1.5701334522099999</v>
      </c>
      <c r="C54" s="43">
        <v>1584.6</v>
      </c>
      <c r="D54" s="43">
        <v>1890.4</v>
      </c>
      <c r="E54" s="42">
        <v>1193</v>
      </c>
    </row>
    <row r="55" spans="1:5" x14ac:dyDescent="0.25">
      <c r="A55" s="2" t="s">
        <v>73</v>
      </c>
      <c r="B55" s="42">
        <v>1.1958345280689999</v>
      </c>
      <c r="C55" s="42">
        <v>3522</v>
      </c>
      <c r="D55" s="43">
        <v>1365.2</v>
      </c>
      <c r="E55" s="42">
        <v>387.6</v>
      </c>
    </row>
    <row r="56" spans="1:5" x14ac:dyDescent="0.25">
      <c r="A56" s="2" t="s">
        <v>74</v>
      </c>
      <c r="B56" s="42">
        <v>3.6432299929859999</v>
      </c>
      <c r="C56" s="42">
        <v>11114.7</v>
      </c>
      <c r="D56" s="43">
        <v>3764.2</v>
      </c>
      <c r="E56" s="42">
        <v>338.7</v>
      </c>
    </row>
    <row r="57" spans="1:5" x14ac:dyDescent="0.25">
      <c r="A57" s="2" t="s">
        <v>75</v>
      </c>
      <c r="B57" s="42">
        <v>1.379564348892</v>
      </c>
      <c r="C57" s="43">
        <v>2556.4</v>
      </c>
      <c r="D57" s="43">
        <v>1796.1</v>
      </c>
      <c r="E57" s="42">
        <v>702.6</v>
      </c>
    </row>
    <row r="58" spans="1:5" x14ac:dyDescent="0.25">
      <c r="A58" s="2" t="s">
        <v>76</v>
      </c>
      <c r="B58" s="42">
        <v>6.9375034580800001</v>
      </c>
      <c r="C58" s="43">
        <v>2095.4</v>
      </c>
      <c r="D58" s="43">
        <v>9543.6</v>
      </c>
      <c r="E58" s="43">
        <v>4554.6000000000004</v>
      </c>
    </row>
    <row r="59" spans="1:5" x14ac:dyDescent="0.25">
      <c r="A59" s="2" t="s">
        <v>77</v>
      </c>
      <c r="B59" s="42">
        <v>0.86179026878200005</v>
      </c>
      <c r="C59" s="43">
        <v>2390.8000000000002</v>
      </c>
      <c r="D59" s="43">
        <v>1023.9</v>
      </c>
      <c r="E59" s="42">
        <v>428.3</v>
      </c>
    </row>
    <row r="60" spans="1:5" x14ac:dyDescent="0.25">
      <c r="A60" s="2" t="s">
        <v>78</v>
      </c>
      <c r="B60" s="42">
        <v>1.320932347686</v>
      </c>
      <c r="C60" s="43">
        <v>4947.1000000000004</v>
      </c>
      <c r="D60" s="43">
        <v>1178.5999999999999</v>
      </c>
      <c r="E60" s="42">
        <v>238.2</v>
      </c>
    </row>
    <row r="61" spans="1:5" x14ac:dyDescent="0.25">
      <c r="A61" s="2" t="s">
        <v>79</v>
      </c>
      <c r="B61" s="42">
        <v>1.3143981176190001</v>
      </c>
      <c r="C61" s="42">
        <v>5868</v>
      </c>
      <c r="D61" s="42">
        <v>820.3</v>
      </c>
      <c r="E61" s="42">
        <v>139.80000000000001</v>
      </c>
    </row>
    <row r="62" spans="1:5" x14ac:dyDescent="0.25">
      <c r="A62" s="2" t="s">
        <v>80</v>
      </c>
      <c r="B62" s="42">
        <v>0.86891066114100002</v>
      </c>
      <c r="C62" s="43">
        <v>1525.7</v>
      </c>
      <c r="D62" s="43">
        <v>1037.3</v>
      </c>
      <c r="E62" s="42">
        <v>679.9</v>
      </c>
    </row>
    <row r="63" spans="1:5" x14ac:dyDescent="0.25">
      <c r="A63" s="2" t="s">
        <v>81</v>
      </c>
      <c r="B63" s="42">
        <v>1.1059379798490001</v>
      </c>
      <c r="C63" s="42">
        <v>1236</v>
      </c>
      <c r="D63" s="43">
        <v>1225.3</v>
      </c>
      <c r="E63" s="42">
        <v>991.3</v>
      </c>
    </row>
    <row r="64" spans="1:5" x14ac:dyDescent="0.25">
      <c r="A64" s="5" t="s">
        <v>82</v>
      </c>
      <c r="B64" s="42">
        <v>1.5377460917420001</v>
      </c>
      <c r="C64" s="43">
        <v>6892.7</v>
      </c>
      <c r="D64" s="42">
        <v>864.4</v>
      </c>
      <c r="E64" s="42">
        <v>125.4</v>
      </c>
    </row>
    <row r="65" spans="2:5" x14ac:dyDescent="0.25">
      <c r="B65" s="44"/>
      <c r="C65" s="44"/>
      <c r="D65" s="44"/>
      <c r="E65" s="44"/>
    </row>
    <row r="66" spans="2:5" x14ac:dyDescent="0.25">
      <c r="B66" s="44"/>
      <c r="C66" s="44"/>
      <c r="D66" s="44"/>
      <c r="E66" s="44"/>
    </row>
    <row r="67" spans="2:5" x14ac:dyDescent="0.25">
      <c r="B67" s="44"/>
      <c r="C67" s="44"/>
      <c r="D67" s="44"/>
      <c r="E67" s="44"/>
    </row>
    <row r="68" spans="2:5" x14ac:dyDescent="0.25">
      <c r="B68" s="44"/>
      <c r="C68" s="44"/>
      <c r="D68" s="44"/>
      <c r="E68" s="44"/>
    </row>
    <row r="69" spans="2:5" x14ac:dyDescent="0.25">
      <c r="B69" s="44"/>
      <c r="C69" s="44"/>
      <c r="D69" s="44"/>
      <c r="E69" s="44"/>
    </row>
    <row r="70" spans="2:5" x14ac:dyDescent="0.25">
      <c r="B70" s="44"/>
      <c r="C70" s="44"/>
      <c r="D70" s="44"/>
      <c r="E70" s="44"/>
    </row>
    <row r="71" spans="2:5" x14ac:dyDescent="0.25">
      <c r="B71" s="44"/>
      <c r="C71" s="44"/>
      <c r="D71" s="44"/>
      <c r="E71" s="44"/>
    </row>
    <row r="72" spans="2:5" x14ac:dyDescent="0.25">
      <c r="B72" s="44"/>
      <c r="C72" s="44"/>
      <c r="D72" s="44"/>
      <c r="E72" s="44"/>
    </row>
    <row r="73" spans="2:5" x14ac:dyDescent="0.25">
      <c r="B73" s="44"/>
      <c r="C73" s="44"/>
      <c r="D73" s="44"/>
      <c r="E73" s="44"/>
    </row>
    <row r="74" spans="2:5" x14ac:dyDescent="0.25">
      <c r="B74" s="44"/>
      <c r="C74" s="44"/>
      <c r="D74" s="44"/>
      <c r="E74" s="44"/>
    </row>
    <row r="75" spans="2:5" x14ac:dyDescent="0.25">
      <c r="B75" s="44"/>
      <c r="C75" s="44"/>
      <c r="D75" s="44"/>
      <c r="E75" s="44"/>
    </row>
    <row r="76" spans="2:5" x14ac:dyDescent="0.25">
      <c r="B76" s="44"/>
      <c r="C76" s="44"/>
      <c r="D76" s="44"/>
      <c r="E76" s="44"/>
    </row>
    <row r="77" spans="2:5" x14ac:dyDescent="0.25">
      <c r="B77" s="44"/>
      <c r="C77" s="44"/>
      <c r="D77" s="44"/>
      <c r="E77" s="44"/>
    </row>
    <row r="78" spans="2:5" x14ac:dyDescent="0.25">
      <c r="B78" s="44"/>
      <c r="C78" s="44"/>
      <c r="D78" s="44"/>
      <c r="E78" s="44"/>
    </row>
    <row r="79" spans="2:5" x14ac:dyDescent="0.25">
      <c r="B79" s="44"/>
      <c r="C79" s="44"/>
      <c r="D79" s="44"/>
      <c r="E79" s="44"/>
    </row>
    <row r="80" spans="2:5" x14ac:dyDescent="0.25">
      <c r="B80" s="44"/>
      <c r="C80" s="44"/>
      <c r="D80" s="44"/>
      <c r="E80" s="44"/>
    </row>
    <row r="81" spans="2:5" x14ac:dyDescent="0.25">
      <c r="B81" s="44"/>
      <c r="C81" s="44"/>
      <c r="D81" s="44"/>
      <c r="E81" s="44"/>
    </row>
    <row r="82" spans="2:5" x14ac:dyDescent="0.25">
      <c r="B82" s="44"/>
      <c r="C82" s="44"/>
      <c r="D82" s="44"/>
      <c r="E82" s="44"/>
    </row>
    <row r="83" spans="2:5" x14ac:dyDescent="0.25">
      <c r="B83" s="44"/>
      <c r="C83" s="44"/>
      <c r="D83" s="44"/>
      <c r="E83" s="44"/>
    </row>
    <row r="84" spans="2:5" x14ac:dyDescent="0.25">
      <c r="B84" s="44"/>
      <c r="C84" s="44"/>
      <c r="D84" s="44"/>
      <c r="E84" s="44"/>
    </row>
    <row r="85" spans="2:5" x14ac:dyDescent="0.25">
      <c r="B85" s="44"/>
      <c r="C85" s="44"/>
      <c r="D85" s="44"/>
      <c r="E85" s="44"/>
    </row>
    <row r="86" spans="2:5" x14ac:dyDescent="0.25">
      <c r="B86" s="44"/>
      <c r="C86" s="44"/>
      <c r="D86" s="44"/>
      <c r="E86" s="44"/>
    </row>
    <row r="87" spans="2:5" x14ac:dyDescent="0.25">
      <c r="B87" s="44"/>
      <c r="C87" s="44"/>
      <c r="D87" s="44"/>
      <c r="E87" s="44"/>
    </row>
    <row r="88" spans="2:5" x14ac:dyDescent="0.25">
      <c r="B88" s="44"/>
      <c r="C88" s="44"/>
      <c r="D88" s="44"/>
      <c r="E88" s="44"/>
    </row>
    <row r="89" spans="2:5" x14ac:dyDescent="0.25">
      <c r="B89" s="44"/>
      <c r="C89" s="44"/>
      <c r="D89" s="44"/>
      <c r="E89" s="44"/>
    </row>
    <row r="90" spans="2:5" x14ac:dyDescent="0.25">
      <c r="B90" s="44"/>
      <c r="C90" s="44"/>
      <c r="D90" s="44"/>
      <c r="E90" s="44"/>
    </row>
    <row r="91" spans="2:5" x14ac:dyDescent="0.25">
      <c r="B91" s="44"/>
      <c r="C91" s="44"/>
      <c r="D91" s="44"/>
      <c r="E91" s="44"/>
    </row>
    <row r="92" spans="2:5" x14ac:dyDescent="0.25">
      <c r="B92" s="44"/>
      <c r="C92" s="44"/>
      <c r="D92" s="44"/>
      <c r="E92" s="44"/>
    </row>
    <row r="93" spans="2:5" x14ac:dyDescent="0.25">
      <c r="B93" s="44"/>
      <c r="C93" s="44"/>
      <c r="D93" s="44"/>
      <c r="E93" s="44"/>
    </row>
    <row r="94" spans="2:5" x14ac:dyDescent="0.25">
      <c r="B94" s="44"/>
      <c r="C94" s="44"/>
      <c r="D94" s="44"/>
      <c r="E94" s="44"/>
    </row>
    <row r="95" spans="2:5" x14ac:dyDescent="0.25">
      <c r="B95" s="44"/>
      <c r="C95" s="44"/>
      <c r="D95" s="44"/>
      <c r="E95" s="44"/>
    </row>
    <row r="96" spans="2:5" x14ac:dyDescent="0.25">
      <c r="B96" s="44"/>
      <c r="C96" s="44"/>
      <c r="D96" s="44"/>
      <c r="E96" s="44"/>
    </row>
    <row r="97" spans="2:5" x14ac:dyDescent="0.25">
      <c r="B97" s="44"/>
      <c r="C97" s="44"/>
      <c r="D97" s="44"/>
      <c r="E97" s="44"/>
    </row>
    <row r="98" spans="2:5" x14ac:dyDescent="0.25">
      <c r="B98" s="44"/>
      <c r="C98" s="44"/>
      <c r="D98" s="44"/>
      <c r="E98" s="44"/>
    </row>
    <row r="99" spans="2:5" x14ac:dyDescent="0.25">
      <c r="B99" s="44"/>
      <c r="C99" s="44"/>
      <c r="D99" s="44"/>
      <c r="E99" s="44"/>
    </row>
    <row r="100" spans="2:5" x14ac:dyDescent="0.25">
      <c r="B100" s="44"/>
      <c r="C100" s="44"/>
      <c r="D100" s="44"/>
      <c r="E100" s="44"/>
    </row>
    <row r="101" spans="2:5" x14ac:dyDescent="0.25">
      <c r="B101" s="44"/>
      <c r="C101" s="44"/>
      <c r="D101" s="44"/>
      <c r="E101" s="44"/>
    </row>
    <row r="102" spans="2:5" x14ac:dyDescent="0.25">
      <c r="B102" s="44"/>
      <c r="C102" s="44"/>
      <c r="D102" s="44"/>
      <c r="E102" s="44"/>
    </row>
    <row r="103" spans="2:5" x14ac:dyDescent="0.25">
      <c r="B103" s="44"/>
      <c r="C103" s="44"/>
      <c r="D103" s="44"/>
      <c r="E103" s="44"/>
    </row>
    <row r="104" spans="2:5" x14ac:dyDescent="0.25">
      <c r="B104" s="44"/>
      <c r="C104" s="44"/>
      <c r="D104" s="44"/>
      <c r="E104" s="44"/>
    </row>
    <row r="105" spans="2:5" x14ac:dyDescent="0.25">
      <c r="B105" s="44"/>
      <c r="C105" s="44"/>
      <c r="D105" s="44"/>
      <c r="E105" s="44"/>
    </row>
    <row r="106" spans="2:5" x14ac:dyDescent="0.25">
      <c r="B106" s="44"/>
      <c r="C106" s="44"/>
      <c r="D106" s="44"/>
      <c r="E106" s="44"/>
    </row>
    <row r="107" spans="2:5" x14ac:dyDescent="0.25">
      <c r="B107" s="44"/>
      <c r="C107" s="44"/>
      <c r="D107" s="44"/>
      <c r="E107" s="44"/>
    </row>
    <row r="108" spans="2:5" x14ac:dyDescent="0.25">
      <c r="B108" s="44"/>
      <c r="C108" s="44"/>
      <c r="D108" s="44"/>
      <c r="E108" s="44"/>
    </row>
    <row r="109" spans="2:5" x14ac:dyDescent="0.25">
      <c r="B109" s="44"/>
      <c r="C109" s="44"/>
      <c r="D109" s="44"/>
      <c r="E109" s="44"/>
    </row>
    <row r="110" spans="2:5" x14ac:dyDescent="0.25">
      <c r="B110" s="44"/>
      <c r="C110" s="44"/>
      <c r="D110" s="44"/>
      <c r="E110" s="44"/>
    </row>
    <row r="111" spans="2:5" x14ac:dyDescent="0.25">
      <c r="B111" s="44"/>
      <c r="C111" s="44"/>
      <c r="D111" s="44"/>
      <c r="E111" s="44"/>
    </row>
    <row r="112" spans="2:5" x14ac:dyDescent="0.25">
      <c r="B112" s="44"/>
      <c r="C112" s="44"/>
      <c r="D112" s="44"/>
      <c r="E112" s="44"/>
    </row>
    <row r="113" spans="2:5" x14ac:dyDescent="0.25">
      <c r="B113" s="44"/>
      <c r="C113" s="44"/>
      <c r="D113" s="44"/>
      <c r="E113" s="44"/>
    </row>
    <row r="114" spans="2:5" x14ac:dyDescent="0.25">
      <c r="B114" s="44"/>
      <c r="C114" s="44"/>
      <c r="D114" s="44"/>
      <c r="E114" s="44"/>
    </row>
    <row r="115" spans="2:5" x14ac:dyDescent="0.25">
      <c r="B115" s="44"/>
      <c r="C115" s="44"/>
      <c r="D115" s="44"/>
      <c r="E115" s="44"/>
    </row>
    <row r="116" spans="2:5" x14ac:dyDescent="0.25">
      <c r="B116" s="44"/>
      <c r="C116" s="44"/>
      <c r="D116" s="44"/>
      <c r="E116" s="44"/>
    </row>
    <row r="117" spans="2:5" x14ac:dyDescent="0.25">
      <c r="B117" s="44"/>
      <c r="C117" s="44"/>
      <c r="D117" s="44"/>
      <c r="E117" s="44"/>
    </row>
    <row r="118" spans="2:5" x14ac:dyDescent="0.25">
      <c r="B118" s="44"/>
      <c r="C118" s="44"/>
      <c r="D118" s="44"/>
      <c r="E118" s="44"/>
    </row>
    <row r="119" spans="2:5" x14ac:dyDescent="0.25">
      <c r="B119" s="44"/>
      <c r="C119" s="44"/>
      <c r="D119" s="44"/>
      <c r="E119" s="44"/>
    </row>
    <row r="120" spans="2:5" x14ac:dyDescent="0.25">
      <c r="B120" s="44"/>
      <c r="C120" s="44"/>
      <c r="D120" s="44"/>
      <c r="E120" s="44"/>
    </row>
    <row r="121" spans="2:5" x14ac:dyDescent="0.25">
      <c r="B121" s="44"/>
      <c r="C121" s="44"/>
      <c r="D121" s="44"/>
      <c r="E121" s="44"/>
    </row>
    <row r="122" spans="2:5" x14ac:dyDescent="0.25">
      <c r="B122" s="44"/>
      <c r="C122" s="44"/>
      <c r="D122" s="44"/>
      <c r="E122" s="44"/>
    </row>
    <row r="123" spans="2:5" x14ac:dyDescent="0.25">
      <c r="B123" s="44"/>
      <c r="C123" s="44"/>
      <c r="D123" s="44"/>
      <c r="E123" s="44"/>
    </row>
    <row r="124" spans="2:5" x14ac:dyDescent="0.25">
      <c r="B124" s="44"/>
      <c r="C124" s="44"/>
      <c r="D124" s="44"/>
      <c r="E124" s="44"/>
    </row>
    <row r="125" spans="2:5" x14ac:dyDescent="0.25">
      <c r="B125" s="44"/>
      <c r="C125" s="44"/>
      <c r="D125" s="44"/>
      <c r="E125" s="44"/>
    </row>
    <row r="126" spans="2:5" x14ac:dyDescent="0.25">
      <c r="B126" s="44"/>
      <c r="C126" s="44"/>
      <c r="D126" s="44"/>
      <c r="E126" s="44"/>
    </row>
    <row r="127" spans="2:5" x14ac:dyDescent="0.25">
      <c r="B127" s="44"/>
      <c r="C127" s="44"/>
      <c r="D127" s="44"/>
      <c r="E127" s="44"/>
    </row>
    <row r="128" spans="2:5" x14ac:dyDescent="0.25">
      <c r="B128" s="44"/>
      <c r="C128" s="44"/>
      <c r="D128" s="44"/>
      <c r="E128" s="44"/>
    </row>
    <row r="129" spans="2:5" x14ac:dyDescent="0.25">
      <c r="B129" s="44"/>
      <c r="C129" s="44"/>
      <c r="D129" s="44"/>
      <c r="E129" s="44"/>
    </row>
    <row r="130" spans="2:5" x14ac:dyDescent="0.25">
      <c r="B130" s="44"/>
      <c r="C130" s="44"/>
      <c r="D130" s="44"/>
      <c r="E130" s="44"/>
    </row>
    <row r="131" spans="2:5" x14ac:dyDescent="0.25">
      <c r="B131" s="44"/>
      <c r="C131" s="44"/>
      <c r="D131" s="44"/>
      <c r="E131" s="44"/>
    </row>
    <row r="132" spans="2:5" x14ac:dyDescent="0.25">
      <c r="B132" s="44"/>
      <c r="C132" s="44"/>
      <c r="D132" s="44"/>
      <c r="E132" s="44"/>
    </row>
    <row r="133" spans="2:5" x14ac:dyDescent="0.25">
      <c r="B133" s="44"/>
      <c r="C133" s="44"/>
      <c r="D133" s="44"/>
      <c r="E133" s="44"/>
    </row>
    <row r="134" spans="2:5" x14ac:dyDescent="0.25">
      <c r="B134" s="44"/>
      <c r="C134" s="44"/>
      <c r="D134" s="44"/>
      <c r="E134" s="44"/>
    </row>
    <row r="135" spans="2:5" x14ac:dyDescent="0.25">
      <c r="B135" s="44"/>
      <c r="C135" s="44"/>
      <c r="D135" s="44"/>
      <c r="E135" s="44"/>
    </row>
    <row r="136" spans="2:5" x14ac:dyDescent="0.25">
      <c r="B136" s="44"/>
      <c r="C136" s="44"/>
      <c r="D136" s="44"/>
      <c r="E136" s="44"/>
    </row>
    <row r="137" spans="2:5" x14ac:dyDescent="0.25">
      <c r="B137" s="44"/>
      <c r="C137" s="44"/>
      <c r="D137" s="44"/>
      <c r="E137" s="44"/>
    </row>
    <row r="138" spans="2:5" x14ac:dyDescent="0.25">
      <c r="B138" s="44"/>
      <c r="C138" s="44"/>
      <c r="D138" s="44"/>
      <c r="E138" s="44"/>
    </row>
    <row r="139" spans="2:5" x14ac:dyDescent="0.25">
      <c r="B139" s="44"/>
      <c r="C139" s="44"/>
      <c r="D139" s="44"/>
      <c r="E139" s="44"/>
    </row>
    <row r="140" spans="2:5" x14ac:dyDescent="0.25">
      <c r="B140" s="44"/>
      <c r="C140" s="44"/>
      <c r="D140" s="44"/>
      <c r="E140" s="44"/>
    </row>
    <row r="141" spans="2:5" x14ac:dyDescent="0.25">
      <c r="B141" s="44"/>
      <c r="C141" s="44"/>
      <c r="D141" s="44"/>
      <c r="E141" s="44"/>
    </row>
    <row r="142" spans="2:5" x14ac:dyDescent="0.25">
      <c r="B142" s="44"/>
      <c r="C142" s="44"/>
      <c r="D142" s="44"/>
      <c r="E142" s="44"/>
    </row>
    <row r="143" spans="2:5" x14ac:dyDescent="0.25">
      <c r="B143" s="44"/>
      <c r="C143" s="44"/>
      <c r="D143" s="44"/>
      <c r="E143" s="44"/>
    </row>
    <row r="144" spans="2:5" x14ac:dyDescent="0.25">
      <c r="B144" s="44"/>
      <c r="C144" s="44"/>
      <c r="D144" s="44"/>
      <c r="E144" s="44"/>
    </row>
    <row r="145" spans="2:5" x14ac:dyDescent="0.25">
      <c r="B145" s="44"/>
      <c r="C145" s="44"/>
      <c r="D145" s="44"/>
      <c r="E145" s="44"/>
    </row>
    <row r="146" spans="2:5" x14ac:dyDescent="0.25">
      <c r="B146" s="44"/>
      <c r="C146" s="44"/>
      <c r="D146" s="44"/>
      <c r="E146" s="44"/>
    </row>
    <row r="147" spans="2:5" x14ac:dyDescent="0.25">
      <c r="B147" s="44"/>
      <c r="C147" s="44"/>
      <c r="D147" s="44"/>
      <c r="E147" s="44"/>
    </row>
    <row r="148" spans="2:5" x14ac:dyDescent="0.25">
      <c r="B148" s="44"/>
      <c r="C148" s="44"/>
      <c r="D148" s="44"/>
      <c r="E148" s="44"/>
    </row>
    <row r="149" spans="2:5" x14ac:dyDescent="0.25">
      <c r="B149" s="44"/>
      <c r="C149" s="44"/>
      <c r="D149" s="44"/>
      <c r="E149" s="44"/>
    </row>
    <row r="150" spans="2:5" x14ac:dyDescent="0.25">
      <c r="B150" s="44"/>
      <c r="C150" s="44"/>
      <c r="D150" s="44"/>
      <c r="E150" s="44"/>
    </row>
    <row r="151" spans="2:5" x14ac:dyDescent="0.25">
      <c r="B151" s="44"/>
      <c r="C151" s="44"/>
      <c r="D151" s="44"/>
      <c r="E151" s="44"/>
    </row>
    <row r="152" spans="2:5" x14ac:dyDescent="0.25">
      <c r="B152" s="44"/>
      <c r="C152" s="44"/>
      <c r="D152" s="44"/>
      <c r="E152" s="44"/>
    </row>
    <row r="153" spans="2:5" x14ac:dyDescent="0.25">
      <c r="B153" s="44"/>
      <c r="C153" s="44"/>
      <c r="D153" s="44"/>
      <c r="E153" s="44"/>
    </row>
    <row r="154" spans="2:5" x14ac:dyDescent="0.25">
      <c r="B154" s="44"/>
      <c r="C154" s="44"/>
      <c r="D154" s="44"/>
      <c r="E154" s="44"/>
    </row>
    <row r="155" spans="2:5" x14ac:dyDescent="0.25">
      <c r="B155" s="44"/>
      <c r="C155" s="44"/>
      <c r="D155" s="44"/>
      <c r="E155" s="44"/>
    </row>
    <row r="156" spans="2:5" x14ac:dyDescent="0.25">
      <c r="B156" s="44"/>
      <c r="C156" s="44"/>
      <c r="D156" s="44"/>
      <c r="E156" s="44"/>
    </row>
    <row r="157" spans="2:5" x14ac:dyDescent="0.25">
      <c r="B157" s="44"/>
      <c r="C157" s="44"/>
      <c r="D157" s="44"/>
      <c r="E157" s="44"/>
    </row>
    <row r="158" spans="2:5" x14ac:dyDescent="0.25">
      <c r="B158" s="44"/>
      <c r="C158" s="44"/>
      <c r="D158" s="44"/>
      <c r="E158" s="44"/>
    </row>
    <row r="159" spans="2:5" x14ac:dyDescent="0.25">
      <c r="B159" s="44"/>
      <c r="C159" s="44"/>
      <c r="D159" s="44"/>
      <c r="E159" s="44"/>
    </row>
    <row r="160" spans="2:5" x14ac:dyDescent="0.25">
      <c r="B160" s="44"/>
      <c r="C160" s="44"/>
      <c r="D160" s="44"/>
      <c r="E160" s="44"/>
    </row>
    <row r="161" spans="2:5" x14ac:dyDescent="0.25">
      <c r="B161" s="44"/>
      <c r="C161" s="44"/>
      <c r="D161" s="44"/>
      <c r="E161" s="44"/>
    </row>
    <row r="162" spans="2:5" x14ac:dyDescent="0.25">
      <c r="B162" s="44"/>
      <c r="C162" s="44"/>
      <c r="D162" s="44"/>
      <c r="E162" s="44"/>
    </row>
    <row r="163" spans="2:5" x14ac:dyDescent="0.25">
      <c r="B163" s="44"/>
      <c r="C163" s="44"/>
      <c r="D163" s="44"/>
      <c r="E163" s="44"/>
    </row>
    <row r="164" spans="2:5" x14ac:dyDescent="0.25">
      <c r="B164" s="44"/>
      <c r="C164" s="44"/>
      <c r="D164" s="44"/>
      <c r="E164" s="44"/>
    </row>
    <row r="165" spans="2:5" x14ac:dyDescent="0.25">
      <c r="B165" s="44"/>
      <c r="C165" s="44"/>
      <c r="D165" s="44"/>
      <c r="E165" s="44"/>
    </row>
    <row r="166" spans="2:5" x14ac:dyDescent="0.25">
      <c r="B166" s="44"/>
      <c r="C166" s="44"/>
      <c r="D166" s="44"/>
      <c r="E166" s="44"/>
    </row>
    <row r="167" spans="2:5" x14ac:dyDescent="0.25">
      <c r="B167" s="44"/>
      <c r="C167" s="44"/>
      <c r="D167" s="44"/>
      <c r="E167" s="44"/>
    </row>
    <row r="168" spans="2:5" x14ac:dyDescent="0.25">
      <c r="B168" s="44"/>
      <c r="C168" s="44"/>
      <c r="D168" s="44"/>
      <c r="E168" s="44"/>
    </row>
    <row r="169" spans="2:5" x14ac:dyDescent="0.25">
      <c r="B169" s="44"/>
      <c r="C169" s="44"/>
      <c r="D169" s="44"/>
      <c r="E169" s="44"/>
    </row>
    <row r="170" spans="2:5" x14ac:dyDescent="0.25">
      <c r="B170" s="44"/>
      <c r="C170" s="44"/>
      <c r="D170" s="44"/>
      <c r="E170" s="44"/>
    </row>
    <row r="171" spans="2:5" x14ac:dyDescent="0.25">
      <c r="B171" s="44"/>
      <c r="C171" s="44"/>
      <c r="D171" s="44"/>
      <c r="E171" s="44"/>
    </row>
    <row r="172" spans="2:5" x14ac:dyDescent="0.25">
      <c r="B172" s="44"/>
      <c r="C172" s="44"/>
      <c r="D172" s="44"/>
      <c r="E172" s="44"/>
    </row>
    <row r="173" spans="2:5" x14ac:dyDescent="0.25">
      <c r="B173" s="44"/>
      <c r="C173" s="44"/>
      <c r="D173" s="44"/>
      <c r="E173" s="44"/>
    </row>
    <row r="174" spans="2:5" x14ac:dyDescent="0.25">
      <c r="B174" s="44"/>
      <c r="C174" s="44"/>
      <c r="D174" s="44"/>
      <c r="E174" s="44"/>
    </row>
    <row r="175" spans="2:5" x14ac:dyDescent="0.25">
      <c r="B175" s="44"/>
      <c r="C175" s="44"/>
      <c r="D175" s="44"/>
      <c r="E175" s="44"/>
    </row>
    <row r="176" spans="2:5" x14ac:dyDescent="0.25">
      <c r="B176" s="44"/>
      <c r="C176" s="44"/>
      <c r="D176" s="44"/>
      <c r="E176" s="44"/>
    </row>
    <row r="177" spans="2:5" x14ac:dyDescent="0.25">
      <c r="B177" s="44"/>
      <c r="C177" s="44"/>
      <c r="D177" s="44"/>
      <c r="E177" s="44"/>
    </row>
    <row r="178" spans="2:5" x14ac:dyDescent="0.25">
      <c r="B178" s="44"/>
      <c r="C178" s="44"/>
      <c r="D178" s="44"/>
      <c r="E178" s="44"/>
    </row>
    <row r="179" spans="2:5" x14ac:dyDescent="0.25">
      <c r="B179" s="44"/>
      <c r="C179" s="44"/>
      <c r="D179" s="44"/>
      <c r="E179" s="44"/>
    </row>
    <row r="180" spans="2:5" x14ac:dyDescent="0.25">
      <c r="B180" s="44"/>
      <c r="C180" s="44"/>
      <c r="D180" s="44"/>
      <c r="E180" s="44"/>
    </row>
    <row r="181" spans="2:5" x14ac:dyDescent="0.25">
      <c r="B181" s="44"/>
      <c r="C181" s="44"/>
      <c r="D181" s="44"/>
      <c r="E181" s="44"/>
    </row>
    <row r="182" spans="2:5" x14ac:dyDescent="0.25">
      <c r="B182" s="44"/>
      <c r="C182" s="44"/>
      <c r="D182" s="44"/>
      <c r="E182" s="44"/>
    </row>
    <row r="183" spans="2:5" x14ac:dyDescent="0.25">
      <c r="B183" s="44"/>
      <c r="C183" s="44"/>
      <c r="D183" s="44"/>
      <c r="E183" s="44"/>
    </row>
    <row r="184" spans="2:5" x14ac:dyDescent="0.25">
      <c r="B184" s="44"/>
      <c r="C184" s="44"/>
      <c r="D184" s="44"/>
      <c r="E184" s="44"/>
    </row>
    <row r="185" spans="2:5" x14ac:dyDescent="0.25">
      <c r="B185" s="44"/>
      <c r="C185" s="44"/>
      <c r="D185" s="44"/>
      <c r="E185" s="44"/>
    </row>
    <row r="186" spans="2:5" x14ac:dyDescent="0.25">
      <c r="B186" s="44"/>
      <c r="C186" s="44"/>
      <c r="D186" s="44"/>
      <c r="E186" s="44"/>
    </row>
    <row r="187" spans="2:5" x14ac:dyDescent="0.25">
      <c r="B187" s="44"/>
      <c r="C187" s="44"/>
      <c r="D187" s="44"/>
      <c r="E187" s="44"/>
    </row>
    <row r="188" spans="2:5" x14ac:dyDescent="0.25">
      <c r="B188" s="44"/>
      <c r="C188" s="44"/>
      <c r="D188" s="44"/>
      <c r="E188" s="44"/>
    </row>
    <row r="189" spans="2:5" x14ac:dyDescent="0.25">
      <c r="B189" s="44"/>
      <c r="C189" s="44"/>
      <c r="D189" s="44"/>
      <c r="E189" s="44"/>
    </row>
    <row r="190" spans="2:5" x14ac:dyDescent="0.25">
      <c r="B190" s="44"/>
      <c r="C190" s="44"/>
      <c r="D190" s="44"/>
      <c r="E190" s="44"/>
    </row>
    <row r="191" spans="2:5" x14ac:dyDescent="0.25">
      <c r="B191" s="44"/>
      <c r="C191" s="44"/>
      <c r="D191" s="44"/>
      <c r="E191" s="44"/>
    </row>
    <row r="192" spans="2:5" x14ac:dyDescent="0.25">
      <c r="B192" s="44"/>
      <c r="C192" s="44"/>
      <c r="D192" s="44"/>
      <c r="E192" s="44"/>
    </row>
    <row r="193" spans="2:5" x14ac:dyDescent="0.25">
      <c r="B193" s="44"/>
      <c r="C193" s="44"/>
      <c r="D193" s="44"/>
      <c r="E193" s="44"/>
    </row>
    <row r="194" spans="2:5" x14ac:dyDescent="0.25">
      <c r="B194" s="44"/>
      <c r="C194" s="44"/>
      <c r="D194" s="44"/>
      <c r="E194" s="44"/>
    </row>
    <row r="195" spans="2:5" x14ac:dyDescent="0.25">
      <c r="B195" s="44"/>
      <c r="C195" s="44"/>
      <c r="D195" s="44"/>
      <c r="E195" s="44"/>
    </row>
    <row r="196" spans="2:5" x14ac:dyDescent="0.25">
      <c r="B196" s="44"/>
      <c r="C196" s="44"/>
      <c r="D196" s="44"/>
      <c r="E196" s="44"/>
    </row>
    <row r="197" spans="2:5" x14ac:dyDescent="0.25">
      <c r="B197" s="44"/>
      <c r="C197" s="44"/>
      <c r="D197" s="44"/>
      <c r="E197" s="44"/>
    </row>
    <row r="198" spans="2:5" x14ac:dyDescent="0.25">
      <c r="B198" s="44"/>
      <c r="C198" s="44"/>
      <c r="D198" s="44"/>
      <c r="E198" s="44"/>
    </row>
    <row r="199" spans="2:5" x14ac:dyDescent="0.25">
      <c r="B199" s="44"/>
      <c r="C199" s="44"/>
      <c r="D199" s="44"/>
      <c r="E199" s="44"/>
    </row>
    <row r="200" spans="2:5" x14ac:dyDescent="0.25">
      <c r="B200" s="44"/>
      <c r="C200" s="44"/>
      <c r="D200" s="44"/>
      <c r="E200" s="44"/>
    </row>
    <row r="201" spans="2:5" x14ac:dyDescent="0.25">
      <c r="B201" s="44"/>
      <c r="C201" s="44"/>
      <c r="D201" s="44"/>
      <c r="E201" s="44"/>
    </row>
    <row r="202" spans="2:5" x14ac:dyDescent="0.25">
      <c r="B202" s="44"/>
      <c r="C202" s="44"/>
      <c r="D202" s="44"/>
      <c r="E202" s="44"/>
    </row>
    <row r="203" spans="2:5" x14ac:dyDescent="0.25">
      <c r="B203" s="44"/>
      <c r="C203" s="44"/>
      <c r="D203" s="44"/>
      <c r="E203" s="44"/>
    </row>
    <row r="204" spans="2:5" x14ac:dyDescent="0.25">
      <c r="B204" s="44"/>
      <c r="C204" s="44"/>
      <c r="D204" s="44"/>
      <c r="E204" s="44"/>
    </row>
    <row r="205" spans="2:5" x14ac:dyDescent="0.25">
      <c r="B205" s="44"/>
      <c r="C205" s="44"/>
      <c r="D205" s="44"/>
      <c r="E205" s="44"/>
    </row>
    <row r="206" spans="2:5" x14ac:dyDescent="0.25">
      <c r="B206" s="44"/>
      <c r="C206" s="44"/>
      <c r="D206" s="44"/>
      <c r="E206" s="44"/>
    </row>
    <row r="207" spans="2:5" x14ac:dyDescent="0.25">
      <c r="B207" s="44"/>
      <c r="C207" s="44"/>
      <c r="D207" s="44"/>
      <c r="E207" s="44"/>
    </row>
    <row r="208" spans="2:5" x14ac:dyDescent="0.25">
      <c r="B208" s="44"/>
      <c r="C208" s="44"/>
      <c r="D208" s="44"/>
      <c r="E208" s="44"/>
    </row>
    <row r="209" spans="2:5" x14ac:dyDescent="0.25">
      <c r="B209" s="44"/>
      <c r="C209" s="44"/>
      <c r="D209" s="44"/>
      <c r="E209" s="44"/>
    </row>
    <row r="210" spans="2:5" x14ac:dyDescent="0.25">
      <c r="B210" s="44"/>
      <c r="C210" s="44"/>
      <c r="D210" s="44"/>
      <c r="E210" s="44"/>
    </row>
    <row r="211" spans="2:5" x14ac:dyDescent="0.25">
      <c r="B211" s="44"/>
      <c r="C211" s="44"/>
      <c r="D211" s="44"/>
      <c r="E211" s="44"/>
    </row>
    <row r="212" spans="2:5" x14ac:dyDescent="0.25">
      <c r="B212" s="44"/>
      <c r="C212" s="44"/>
      <c r="D212" s="44"/>
      <c r="E212" s="44"/>
    </row>
    <row r="213" spans="2:5" x14ac:dyDescent="0.25">
      <c r="B213" s="44"/>
      <c r="C213" s="44"/>
      <c r="D213" s="44"/>
      <c r="E213" s="44"/>
    </row>
    <row r="214" spans="2:5" x14ac:dyDescent="0.25">
      <c r="B214" s="44"/>
      <c r="C214" s="44"/>
      <c r="D214" s="44"/>
      <c r="E214" s="44"/>
    </row>
    <row r="215" spans="2:5" x14ac:dyDescent="0.25">
      <c r="B215" s="44"/>
      <c r="C215" s="44"/>
      <c r="D215" s="44"/>
      <c r="E215" s="44"/>
    </row>
    <row r="216" spans="2:5" x14ac:dyDescent="0.25">
      <c r="B216" s="44"/>
      <c r="C216" s="44"/>
      <c r="D216" s="44"/>
      <c r="E216" s="44"/>
    </row>
    <row r="217" spans="2:5" x14ac:dyDescent="0.25">
      <c r="B217" s="44"/>
      <c r="C217" s="44"/>
      <c r="D217" s="44"/>
      <c r="E217" s="44"/>
    </row>
    <row r="218" spans="2:5" x14ac:dyDescent="0.25">
      <c r="B218" s="44"/>
      <c r="C218" s="44"/>
      <c r="D218" s="44"/>
      <c r="E218" s="44"/>
    </row>
    <row r="219" spans="2:5" x14ac:dyDescent="0.25">
      <c r="B219" s="44"/>
      <c r="C219" s="44"/>
      <c r="D219" s="44"/>
      <c r="E219" s="44"/>
    </row>
    <row r="220" spans="2:5" x14ac:dyDescent="0.25">
      <c r="B220" s="44"/>
      <c r="C220" s="44"/>
      <c r="D220" s="44"/>
      <c r="E220" s="44"/>
    </row>
    <row r="221" spans="2:5" x14ac:dyDescent="0.25">
      <c r="B221" s="44"/>
      <c r="C221" s="44"/>
      <c r="D221" s="44"/>
      <c r="E221" s="44"/>
    </row>
    <row r="222" spans="2:5" x14ac:dyDescent="0.25">
      <c r="B222" s="44"/>
      <c r="C222" s="44"/>
      <c r="D222" s="44"/>
      <c r="E222" s="44"/>
    </row>
    <row r="223" spans="2:5" x14ac:dyDescent="0.25">
      <c r="B223" s="44"/>
      <c r="C223" s="44"/>
      <c r="D223" s="44"/>
      <c r="E223" s="44"/>
    </row>
    <row r="224" spans="2:5" x14ac:dyDescent="0.25">
      <c r="B224" s="44"/>
      <c r="C224" s="44"/>
      <c r="D224" s="44"/>
      <c r="E224" s="44"/>
    </row>
    <row r="225" spans="2:5" x14ac:dyDescent="0.25">
      <c r="B225" s="44"/>
      <c r="C225" s="44"/>
      <c r="D225" s="44"/>
      <c r="E225" s="44"/>
    </row>
    <row r="226" spans="2:5" x14ac:dyDescent="0.25">
      <c r="B226" s="44"/>
      <c r="C226" s="44"/>
      <c r="D226" s="44"/>
      <c r="E226" s="44"/>
    </row>
    <row r="227" spans="2:5" x14ac:dyDescent="0.25">
      <c r="B227" s="44"/>
      <c r="C227" s="44"/>
      <c r="D227" s="44"/>
      <c r="E227" s="44"/>
    </row>
    <row r="228" spans="2:5" x14ac:dyDescent="0.25">
      <c r="B228" s="44"/>
      <c r="C228" s="44"/>
      <c r="D228" s="44"/>
      <c r="E228" s="44"/>
    </row>
    <row r="229" spans="2:5" x14ac:dyDescent="0.25">
      <c r="B229" s="44"/>
      <c r="C229" s="44"/>
      <c r="D229" s="44"/>
      <c r="E229" s="44"/>
    </row>
    <row r="230" spans="2:5" x14ac:dyDescent="0.25">
      <c r="B230" s="44"/>
      <c r="C230" s="44"/>
      <c r="D230" s="44"/>
      <c r="E230" s="44"/>
    </row>
    <row r="231" spans="2:5" x14ac:dyDescent="0.25">
      <c r="B231" s="44"/>
      <c r="C231" s="44"/>
      <c r="D231" s="44"/>
      <c r="E231" s="44"/>
    </row>
    <row r="232" spans="2:5" x14ac:dyDescent="0.25">
      <c r="B232" s="44"/>
      <c r="C232" s="44"/>
      <c r="D232" s="44"/>
      <c r="E232" s="44"/>
    </row>
    <row r="233" spans="2:5" x14ac:dyDescent="0.25">
      <c r="B233" s="44"/>
      <c r="C233" s="44"/>
      <c r="D233" s="44"/>
      <c r="E233" s="44"/>
    </row>
    <row r="234" spans="2:5" x14ac:dyDescent="0.25">
      <c r="B234" s="44"/>
      <c r="C234" s="44"/>
      <c r="D234" s="44"/>
      <c r="E234" s="44"/>
    </row>
    <row r="235" spans="2:5" x14ac:dyDescent="0.25">
      <c r="B235" s="44"/>
      <c r="C235" s="44"/>
      <c r="D235" s="44"/>
      <c r="E235" s="44"/>
    </row>
    <row r="236" spans="2:5" x14ac:dyDescent="0.25">
      <c r="B236" s="44"/>
      <c r="C236" s="44"/>
      <c r="D236" s="44"/>
      <c r="E236" s="44"/>
    </row>
    <row r="237" spans="2:5" x14ac:dyDescent="0.25">
      <c r="B237" s="44"/>
      <c r="C237" s="44"/>
      <c r="D237" s="44"/>
      <c r="E237" s="44"/>
    </row>
    <row r="238" spans="2:5" x14ac:dyDescent="0.25">
      <c r="B238" s="44"/>
      <c r="C238" s="44"/>
      <c r="D238" s="44"/>
      <c r="E238" s="44"/>
    </row>
    <row r="239" spans="2:5" x14ac:dyDescent="0.25">
      <c r="B239" s="44"/>
      <c r="C239" s="44"/>
      <c r="D239" s="44"/>
      <c r="E239" s="44"/>
    </row>
    <row r="240" spans="2:5" x14ac:dyDescent="0.25">
      <c r="B240" s="44"/>
      <c r="C240" s="44"/>
      <c r="D240" s="44"/>
      <c r="E240" s="44"/>
    </row>
    <row r="241" spans="2:5" x14ac:dyDescent="0.25">
      <c r="B241" s="44"/>
      <c r="C241" s="44"/>
      <c r="D241" s="44"/>
      <c r="E241" s="44"/>
    </row>
    <row r="242" spans="2:5" x14ac:dyDescent="0.25">
      <c r="B242" s="44"/>
      <c r="C242" s="44"/>
      <c r="D242" s="44"/>
      <c r="E242" s="44"/>
    </row>
    <row r="243" spans="2:5" x14ac:dyDescent="0.25">
      <c r="B243" s="44"/>
      <c r="C243" s="44"/>
      <c r="D243" s="44"/>
      <c r="E243" s="44"/>
    </row>
    <row r="244" spans="2:5" x14ac:dyDescent="0.25">
      <c r="B244" s="44"/>
      <c r="C244" s="44"/>
      <c r="D244" s="44"/>
      <c r="E244" s="44"/>
    </row>
    <row r="245" spans="2:5" x14ac:dyDescent="0.25">
      <c r="B245" s="44"/>
      <c r="C245" s="44"/>
      <c r="D245" s="44"/>
      <c r="E245" s="44"/>
    </row>
    <row r="246" spans="2:5" x14ac:dyDescent="0.25">
      <c r="B246" s="44"/>
      <c r="C246" s="44"/>
      <c r="D246" s="44"/>
      <c r="E246" s="44"/>
    </row>
    <row r="247" spans="2:5" x14ac:dyDescent="0.25">
      <c r="B247" s="44"/>
      <c r="C247" s="44"/>
      <c r="D247" s="44"/>
      <c r="E247" s="44"/>
    </row>
    <row r="248" spans="2:5" x14ac:dyDescent="0.25">
      <c r="B248" s="44"/>
      <c r="C248" s="44"/>
      <c r="D248" s="44"/>
      <c r="E248" s="44"/>
    </row>
    <row r="249" spans="2:5" x14ac:dyDescent="0.25">
      <c r="B249" s="44"/>
      <c r="C249" s="44"/>
      <c r="D249" s="44"/>
      <c r="E249" s="44"/>
    </row>
    <row r="250" spans="2:5" x14ac:dyDescent="0.25">
      <c r="B250" s="44"/>
      <c r="C250" s="44"/>
      <c r="D250" s="44"/>
      <c r="E250" s="44"/>
    </row>
    <row r="251" spans="2:5" x14ac:dyDescent="0.25">
      <c r="B251" s="44"/>
      <c r="C251" s="44"/>
      <c r="D251" s="44"/>
      <c r="E251" s="44"/>
    </row>
    <row r="252" spans="2:5" x14ac:dyDescent="0.25">
      <c r="B252" s="44"/>
      <c r="C252" s="44"/>
      <c r="D252" s="44"/>
      <c r="E252" s="44"/>
    </row>
    <row r="253" spans="2:5" x14ac:dyDescent="0.25">
      <c r="B253" s="44"/>
      <c r="C253" s="44"/>
      <c r="D253" s="44"/>
      <c r="E253" s="44"/>
    </row>
    <row r="254" spans="2:5" x14ac:dyDescent="0.25">
      <c r="B254" s="44"/>
      <c r="C254" s="44"/>
      <c r="D254" s="44"/>
      <c r="E254" s="44"/>
    </row>
    <row r="255" spans="2:5" x14ac:dyDescent="0.25">
      <c r="B255" s="44"/>
      <c r="C255" s="44"/>
      <c r="D255" s="44"/>
      <c r="E255" s="44"/>
    </row>
    <row r="256" spans="2:5" x14ac:dyDescent="0.25">
      <c r="B256" s="44"/>
      <c r="C256" s="44"/>
      <c r="D256" s="44"/>
      <c r="E256" s="44"/>
    </row>
    <row r="257" spans="2:5" x14ac:dyDescent="0.25">
      <c r="B257" s="44"/>
      <c r="C257" s="44"/>
      <c r="D257" s="44"/>
      <c r="E257" s="44"/>
    </row>
    <row r="258" spans="2:5" x14ac:dyDescent="0.25">
      <c r="B258" s="44"/>
      <c r="C258" s="44"/>
      <c r="D258" s="44"/>
      <c r="E258" s="44"/>
    </row>
    <row r="259" spans="2:5" x14ac:dyDescent="0.25">
      <c r="B259" s="44"/>
      <c r="C259" s="44"/>
      <c r="D259" s="44"/>
      <c r="E259" s="44"/>
    </row>
    <row r="260" spans="2:5" x14ac:dyDescent="0.25">
      <c r="B260" s="44"/>
      <c r="C260" s="44"/>
      <c r="D260" s="44"/>
      <c r="E260" s="44"/>
    </row>
    <row r="261" spans="2:5" x14ac:dyDescent="0.25">
      <c r="B261" s="44"/>
      <c r="C261" s="44"/>
      <c r="D261" s="44"/>
      <c r="E261" s="44"/>
    </row>
    <row r="262" spans="2:5" x14ac:dyDescent="0.25">
      <c r="B262" s="44"/>
      <c r="C262" s="44"/>
      <c r="D262" s="44"/>
      <c r="E262" s="44"/>
    </row>
    <row r="263" spans="2:5" x14ac:dyDescent="0.25">
      <c r="B263" s="44"/>
      <c r="C263" s="44"/>
      <c r="D263" s="44"/>
      <c r="E263" s="44"/>
    </row>
    <row r="264" spans="2:5" x14ac:dyDescent="0.25">
      <c r="B264" s="44"/>
      <c r="C264" s="44"/>
      <c r="D264" s="44"/>
      <c r="E264" s="44"/>
    </row>
    <row r="265" spans="2:5" x14ac:dyDescent="0.25">
      <c r="B265" s="44"/>
      <c r="C265" s="44"/>
      <c r="D265" s="44"/>
      <c r="E265" s="44"/>
    </row>
    <row r="266" spans="2:5" x14ac:dyDescent="0.25">
      <c r="B266" s="44"/>
      <c r="C266" s="44"/>
      <c r="D266" s="44"/>
      <c r="E266" s="44"/>
    </row>
    <row r="267" spans="2:5" x14ac:dyDescent="0.25">
      <c r="B267" s="44"/>
      <c r="C267" s="44"/>
      <c r="D267" s="44"/>
      <c r="E267" s="44"/>
    </row>
    <row r="268" spans="2:5" x14ac:dyDescent="0.25">
      <c r="B268" s="44"/>
      <c r="C268" s="44"/>
      <c r="D268" s="44"/>
      <c r="E268" s="44"/>
    </row>
    <row r="269" spans="2:5" x14ac:dyDescent="0.25">
      <c r="B269" s="44"/>
      <c r="C269" s="44"/>
      <c r="D269" s="44"/>
      <c r="E269" s="44"/>
    </row>
    <row r="270" spans="2:5" x14ac:dyDescent="0.25">
      <c r="B270" s="44"/>
      <c r="C270" s="44"/>
      <c r="D270" s="44"/>
      <c r="E270" s="44"/>
    </row>
    <row r="271" spans="2:5" x14ac:dyDescent="0.25">
      <c r="B271" s="44"/>
      <c r="C271" s="44"/>
      <c r="D271" s="44"/>
      <c r="E271" s="44"/>
    </row>
    <row r="272" spans="2:5" x14ac:dyDescent="0.25">
      <c r="B272" s="44"/>
      <c r="C272" s="44"/>
      <c r="D272" s="44"/>
      <c r="E272" s="44"/>
    </row>
    <row r="273" spans="2:5" x14ac:dyDescent="0.25">
      <c r="B273" s="44"/>
      <c r="C273" s="44"/>
      <c r="D273" s="44"/>
      <c r="E273" s="44"/>
    </row>
    <row r="274" spans="2:5" x14ac:dyDescent="0.25">
      <c r="B274" s="44"/>
      <c r="C274" s="44"/>
      <c r="D274" s="44"/>
      <c r="E274" s="44"/>
    </row>
    <row r="275" spans="2:5" x14ac:dyDescent="0.25">
      <c r="B275" s="44"/>
      <c r="C275" s="44"/>
      <c r="D275" s="44"/>
      <c r="E275" s="44"/>
    </row>
    <row r="276" spans="2:5" x14ac:dyDescent="0.25">
      <c r="B276" s="44"/>
      <c r="C276" s="44"/>
      <c r="D276" s="44"/>
      <c r="E276" s="44"/>
    </row>
    <row r="277" spans="2:5" x14ac:dyDescent="0.25">
      <c r="B277" s="44"/>
      <c r="C277" s="44"/>
      <c r="D277" s="44"/>
      <c r="E277" s="44"/>
    </row>
    <row r="278" spans="2:5" x14ac:dyDescent="0.25">
      <c r="B278" s="44"/>
      <c r="C278" s="44"/>
      <c r="D278" s="44"/>
      <c r="E278" s="44"/>
    </row>
    <row r="279" spans="2:5" x14ac:dyDescent="0.25">
      <c r="B279" s="44"/>
      <c r="C279" s="44"/>
      <c r="D279" s="44"/>
      <c r="E279" s="44"/>
    </row>
    <row r="280" spans="2:5" x14ac:dyDescent="0.25">
      <c r="B280" s="44"/>
      <c r="C280" s="44"/>
      <c r="D280" s="44"/>
      <c r="E280" s="44"/>
    </row>
    <row r="281" spans="2:5" x14ac:dyDescent="0.25">
      <c r="B281" s="44"/>
      <c r="C281" s="44"/>
      <c r="D281" s="44"/>
      <c r="E281" s="44"/>
    </row>
    <row r="282" spans="2:5" x14ac:dyDescent="0.25">
      <c r="B282" s="44"/>
      <c r="C282" s="44"/>
      <c r="D282" s="44"/>
      <c r="E282" s="44"/>
    </row>
    <row r="283" spans="2:5" x14ac:dyDescent="0.25">
      <c r="B283" s="44"/>
      <c r="C283" s="44"/>
      <c r="D283" s="44"/>
      <c r="E283" s="44"/>
    </row>
    <row r="284" spans="2:5" x14ac:dyDescent="0.25">
      <c r="B284" s="44"/>
      <c r="C284" s="44"/>
      <c r="D284" s="44"/>
      <c r="E284" s="44"/>
    </row>
    <row r="285" spans="2:5" x14ac:dyDescent="0.25">
      <c r="B285" s="44"/>
      <c r="C285" s="44"/>
      <c r="D285" s="44"/>
      <c r="E285" s="44"/>
    </row>
    <row r="286" spans="2:5" x14ac:dyDescent="0.25">
      <c r="B286" s="44"/>
      <c r="C286" s="44"/>
      <c r="D286" s="44"/>
      <c r="E286" s="44"/>
    </row>
    <row r="287" spans="2:5" x14ac:dyDescent="0.25">
      <c r="B287" s="44"/>
      <c r="C287" s="44"/>
      <c r="D287" s="44"/>
      <c r="E287" s="44"/>
    </row>
    <row r="288" spans="2:5" x14ac:dyDescent="0.25">
      <c r="B288" s="44"/>
      <c r="C288" s="44"/>
      <c r="D288" s="44"/>
      <c r="E288" s="44"/>
    </row>
    <row r="289" spans="2:5" x14ac:dyDescent="0.25">
      <c r="B289" s="44"/>
      <c r="C289" s="44"/>
      <c r="D289" s="44"/>
      <c r="E289" s="44"/>
    </row>
    <row r="290" spans="2:5" x14ac:dyDescent="0.25">
      <c r="B290" s="44"/>
      <c r="C290" s="44"/>
      <c r="D290" s="44"/>
      <c r="E290" s="44"/>
    </row>
    <row r="291" spans="2:5" x14ac:dyDescent="0.25">
      <c r="B291" s="44"/>
      <c r="C291" s="44"/>
      <c r="D291" s="44"/>
      <c r="E291" s="44"/>
    </row>
    <row r="292" spans="2:5" x14ac:dyDescent="0.25">
      <c r="B292" s="44"/>
      <c r="C292" s="44"/>
      <c r="D292" s="44"/>
      <c r="E292" s="44"/>
    </row>
    <row r="293" spans="2:5" x14ac:dyDescent="0.25">
      <c r="B293" s="44"/>
      <c r="C293" s="44"/>
      <c r="D293" s="44"/>
      <c r="E293" s="44"/>
    </row>
    <row r="294" spans="2:5" x14ac:dyDescent="0.25">
      <c r="B294" s="44"/>
      <c r="C294" s="44"/>
      <c r="D294" s="44"/>
      <c r="E294" s="44"/>
    </row>
    <row r="295" spans="2:5" x14ac:dyDescent="0.25">
      <c r="B295" s="44"/>
      <c r="C295" s="44"/>
      <c r="D295" s="44"/>
      <c r="E295" s="44"/>
    </row>
    <row r="296" spans="2:5" x14ac:dyDescent="0.25">
      <c r="B296" s="44"/>
      <c r="C296" s="44"/>
      <c r="D296" s="44"/>
      <c r="E296" s="44"/>
    </row>
    <row r="297" spans="2:5" x14ac:dyDescent="0.25">
      <c r="B297" s="44"/>
      <c r="C297" s="44"/>
      <c r="D297" s="44"/>
      <c r="E297" s="44"/>
    </row>
    <row r="298" spans="2:5" x14ac:dyDescent="0.25">
      <c r="B298" s="44"/>
      <c r="C298" s="44"/>
      <c r="D298" s="44"/>
      <c r="E298" s="44"/>
    </row>
    <row r="299" spans="2:5" x14ac:dyDescent="0.25">
      <c r="B299" s="44"/>
      <c r="C299" s="44"/>
      <c r="D299" s="44"/>
      <c r="E299" s="44"/>
    </row>
    <row r="300" spans="2:5" x14ac:dyDescent="0.25">
      <c r="B300" s="44"/>
      <c r="C300" s="44"/>
      <c r="D300" s="44"/>
      <c r="E300" s="44"/>
    </row>
    <row r="301" spans="2:5" x14ac:dyDescent="0.25">
      <c r="B301" s="44"/>
      <c r="C301" s="44"/>
      <c r="D301" s="44"/>
      <c r="E301" s="44"/>
    </row>
    <row r="302" spans="2:5" x14ac:dyDescent="0.25">
      <c r="B302" s="44"/>
      <c r="C302" s="44"/>
      <c r="D302" s="44"/>
      <c r="E302" s="44"/>
    </row>
    <row r="303" spans="2:5" x14ac:dyDescent="0.25">
      <c r="B303" s="44"/>
      <c r="C303" s="44"/>
      <c r="D303" s="44"/>
      <c r="E303" s="44"/>
    </row>
    <row r="304" spans="2:5" x14ac:dyDescent="0.25">
      <c r="B304" s="44"/>
      <c r="C304" s="44"/>
      <c r="D304" s="44"/>
      <c r="E304" s="44"/>
    </row>
    <row r="305" spans="2:5" x14ac:dyDescent="0.25">
      <c r="B305" s="44"/>
      <c r="C305" s="44"/>
      <c r="D305" s="44"/>
      <c r="E305" s="44"/>
    </row>
    <row r="306" spans="2:5" x14ac:dyDescent="0.25">
      <c r="B306" s="44"/>
      <c r="C306" s="44"/>
      <c r="D306" s="44"/>
      <c r="E306" s="44"/>
    </row>
    <row r="307" spans="2:5" x14ac:dyDescent="0.25">
      <c r="B307" s="44"/>
      <c r="C307" s="44"/>
      <c r="D307" s="44"/>
      <c r="E307" s="44"/>
    </row>
    <row r="308" spans="2:5" x14ac:dyDescent="0.25">
      <c r="B308" s="44"/>
      <c r="C308" s="44"/>
      <c r="D308" s="44"/>
      <c r="E308" s="44"/>
    </row>
    <row r="309" spans="2:5" x14ac:dyDescent="0.25">
      <c r="B309" s="44"/>
      <c r="C309" s="44"/>
      <c r="D309" s="44"/>
      <c r="E309" s="44"/>
    </row>
    <row r="310" spans="2:5" x14ac:dyDescent="0.25">
      <c r="B310" s="44"/>
      <c r="C310" s="44"/>
      <c r="D310" s="44"/>
      <c r="E310" s="44"/>
    </row>
    <row r="311" spans="2:5" x14ac:dyDescent="0.25">
      <c r="B311" s="44"/>
      <c r="C311" s="44"/>
      <c r="D311" s="44"/>
      <c r="E311" s="44"/>
    </row>
    <row r="312" spans="2:5" x14ac:dyDescent="0.25">
      <c r="B312" s="44"/>
      <c r="C312" s="44"/>
      <c r="D312" s="44"/>
      <c r="E312" s="44"/>
    </row>
    <row r="313" spans="2:5" x14ac:dyDescent="0.25">
      <c r="B313" s="44"/>
      <c r="C313" s="44"/>
      <c r="D313" s="44"/>
      <c r="E313" s="44"/>
    </row>
    <row r="314" spans="2:5" x14ac:dyDescent="0.25">
      <c r="B314" s="44"/>
      <c r="C314" s="44"/>
      <c r="D314" s="44"/>
      <c r="E314" s="44"/>
    </row>
    <row r="315" spans="2:5" x14ac:dyDescent="0.25">
      <c r="B315" s="44"/>
      <c r="C315" s="44"/>
      <c r="D315" s="44"/>
      <c r="E315" s="44"/>
    </row>
    <row r="316" spans="2:5" x14ac:dyDescent="0.25">
      <c r="B316" s="44"/>
      <c r="C316" s="44"/>
      <c r="D316" s="44"/>
      <c r="E316" s="44"/>
    </row>
    <row r="317" spans="2:5" x14ac:dyDescent="0.25">
      <c r="B317" s="44"/>
      <c r="C317" s="44"/>
      <c r="D317" s="44"/>
      <c r="E317" s="44"/>
    </row>
    <row r="318" spans="2:5" x14ac:dyDescent="0.25">
      <c r="B318" s="44"/>
      <c r="C318" s="44"/>
      <c r="D318" s="44"/>
      <c r="E318" s="44"/>
    </row>
    <row r="319" spans="2:5" x14ac:dyDescent="0.25">
      <c r="B319" s="44"/>
      <c r="C319" s="44"/>
      <c r="D319" s="44"/>
      <c r="E319" s="44"/>
    </row>
    <row r="320" spans="2:5" x14ac:dyDescent="0.25">
      <c r="B320" s="44"/>
      <c r="C320" s="44"/>
      <c r="D320" s="44"/>
      <c r="E320" s="44"/>
    </row>
    <row r="321" spans="2:5" x14ac:dyDescent="0.25">
      <c r="B321" s="44"/>
      <c r="C321" s="44"/>
      <c r="D321" s="44"/>
      <c r="E321" s="44"/>
    </row>
    <row r="322" spans="2:5" x14ac:dyDescent="0.25">
      <c r="B322" s="44"/>
      <c r="C322" s="44"/>
      <c r="D322" s="44"/>
      <c r="E322" s="44"/>
    </row>
    <row r="323" spans="2:5" x14ac:dyDescent="0.25">
      <c r="B323" s="44"/>
      <c r="C323" s="44"/>
      <c r="D323" s="44"/>
      <c r="E323" s="44"/>
    </row>
    <row r="324" spans="2:5" x14ac:dyDescent="0.25">
      <c r="B324" s="44"/>
      <c r="C324" s="44"/>
      <c r="D324" s="44"/>
      <c r="E324" s="44"/>
    </row>
    <row r="325" spans="2:5" x14ac:dyDescent="0.25">
      <c r="B325" s="44"/>
      <c r="C325" s="44"/>
      <c r="D325" s="44"/>
      <c r="E325" s="44"/>
    </row>
    <row r="326" spans="2:5" x14ac:dyDescent="0.25">
      <c r="B326" s="44"/>
      <c r="C326" s="44"/>
      <c r="D326" s="44"/>
      <c r="E326" s="44"/>
    </row>
    <row r="327" spans="2:5" x14ac:dyDescent="0.25">
      <c r="B327" s="44"/>
      <c r="C327" s="44"/>
      <c r="D327" s="44"/>
      <c r="E327" s="44"/>
    </row>
    <row r="328" spans="2:5" x14ac:dyDescent="0.25">
      <c r="B328" s="44"/>
      <c r="C328" s="44"/>
      <c r="D328" s="44"/>
      <c r="E328" s="44"/>
    </row>
    <row r="329" spans="2:5" x14ac:dyDescent="0.25">
      <c r="B329" s="44"/>
      <c r="C329" s="44"/>
      <c r="D329" s="44"/>
      <c r="E329" s="44"/>
    </row>
    <row r="330" spans="2:5" x14ac:dyDescent="0.25">
      <c r="B330" s="44"/>
      <c r="C330" s="44"/>
      <c r="D330" s="44"/>
      <c r="E330" s="44"/>
    </row>
    <row r="331" spans="2:5" x14ac:dyDescent="0.25">
      <c r="B331" s="44"/>
      <c r="C331" s="44"/>
      <c r="D331" s="44"/>
      <c r="E331" s="44"/>
    </row>
    <row r="332" spans="2:5" x14ac:dyDescent="0.25">
      <c r="B332" s="44"/>
      <c r="C332" s="44"/>
      <c r="D332" s="44"/>
      <c r="E332" s="44"/>
    </row>
    <row r="333" spans="2:5" x14ac:dyDescent="0.25">
      <c r="B333" s="44"/>
      <c r="C333" s="44"/>
      <c r="D333" s="44"/>
      <c r="E333" s="44"/>
    </row>
    <row r="334" spans="2:5" x14ac:dyDescent="0.25">
      <c r="B334" s="44"/>
      <c r="C334" s="44"/>
      <c r="D334" s="44"/>
      <c r="E334" s="44"/>
    </row>
    <row r="335" spans="2:5" x14ac:dyDescent="0.25">
      <c r="B335" s="44"/>
      <c r="C335" s="44"/>
      <c r="D335" s="44"/>
      <c r="E335" s="44"/>
    </row>
    <row r="336" spans="2:5" x14ac:dyDescent="0.25">
      <c r="B336" s="44"/>
      <c r="C336" s="44"/>
      <c r="D336" s="44"/>
      <c r="E336" s="44"/>
    </row>
    <row r="337" spans="2:5" x14ac:dyDescent="0.25">
      <c r="B337" s="44"/>
      <c r="C337" s="44"/>
      <c r="D337" s="44"/>
      <c r="E337" s="44"/>
    </row>
    <row r="338" spans="2:5" x14ac:dyDescent="0.25">
      <c r="B338" s="44"/>
      <c r="C338" s="44"/>
      <c r="D338" s="44"/>
      <c r="E338" s="44"/>
    </row>
    <row r="339" spans="2:5" x14ac:dyDescent="0.25">
      <c r="B339" s="44"/>
      <c r="C339" s="44"/>
      <c r="D339" s="44"/>
      <c r="E339" s="44"/>
    </row>
    <row r="340" spans="2:5" x14ac:dyDescent="0.25">
      <c r="B340" s="44"/>
      <c r="C340" s="44"/>
      <c r="D340" s="44"/>
      <c r="E340" s="44"/>
    </row>
    <row r="341" spans="2:5" x14ac:dyDescent="0.25">
      <c r="B341" s="44"/>
      <c r="C341" s="44"/>
      <c r="D341" s="44"/>
      <c r="E341" s="44"/>
    </row>
    <row r="342" spans="2:5" x14ac:dyDescent="0.25">
      <c r="B342" s="44"/>
      <c r="C342" s="44"/>
      <c r="D342" s="44"/>
      <c r="E342" s="44"/>
    </row>
    <row r="343" spans="2:5" x14ac:dyDescent="0.25">
      <c r="B343" s="44"/>
      <c r="C343" s="44"/>
      <c r="D343" s="44"/>
      <c r="E343" s="44"/>
    </row>
    <row r="344" spans="2:5" x14ac:dyDescent="0.25">
      <c r="B344" s="44"/>
      <c r="C344" s="44"/>
      <c r="D344" s="44"/>
      <c r="E344" s="44"/>
    </row>
    <row r="345" spans="2:5" x14ac:dyDescent="0.25">
      <c r="B345" s="44"/>
      <c r="C345" s="44"/>
      <c r="D345" s="44"/>
      <c r="E345" s="44"/>
    </row>
    <row r="346" spans="2:5" x14ac:dyDescent="0.25">
      <c r="B346" s="44"/>
      <c r="C346" s="44"/>
      <c r="D346" s="44"/>
      <c r="E346" s="44"/>
    </row>
    <row r="347" spans="2:5" x14ac:dyDescent="0.25">
      <c r="B347" s="44"/>
      <c r="C347" s="44"/>
      <c r="D347" s="44"/>
      <c r="E347" s="44"/>
    </row>
    <row r="348" spans="2:5" x14ac:dyDescent="0.25">
      <c r="B348" s="44"/>
      <c r="C348" s="44"/>
      <c r="D348" s="44"/>
      <c r="E348" s="44"/>
    </row>
    <row r="349" spans="2:5" x14ac:dyDescent="0.25">
      <c r="B349" s="44"/>
      <c r="C349" s="44"/>
      <c r="D349" s="44"/>
      <c r="E349" s="44"/>
    </row>
    <row r="350" spans="2:5" x14ac:dyDescent="0.25">
      <c r="B350" s="44"/>
      <c r="C350" s="44"/>
      <c r="D350" s="44"/>
      <c r="E350" s="44"/>
    </row>
    <row r="351" spans="2:5" x14ac:dyDescent="0.25">
      <c r="B351" s="44"/>
      <c r="C351" s="44"/>
      <c r="D351" s="44"/>
      <c r="E351" s="44"/>
    </row>
    <row r="352" spans="2:5" x14ac:dyDescent="0.25">
      <c r="B352" s="44"/>
      <c r="C352" s="44"/>
      <c r="D352" s="44"/>
      <c r="E352" s="44"/>
    </row>
    <row r="353" spans="2:5" x14ac:dyDescent="0.25">
      <c r="B353" s="44"/>
      <c r="C353" s="44"/>
      <c r="D353" s="44"/>
      <c r="E353" s="44"/>
    </row>
    <row r="354" spans="2:5" x14ac:dyDescent="0.25">
      <c r="B354" s="44"/>
      <c r="C354" s="44"/>
      <c r="D354" s="44"/>
      <c r="E354" s="44"/>
    </row>
    <row r="355" spans="2:5" x14ac:dyDescent="0.25">
      <c r="B355" s="44"/>
      <c r="C355" s="44"/>
      <c r="D355" s="44"/>
      <c r="E355" s="44"/>
    </row>
    <row r="356" spans="2:5" x14ac:dyDescent="0.25">
      <c r="B356" s="44"/>
      <c r="C356" s="44"/>
      <c r="D356" s="44"/>
      <c r="E356" s="44"/>
    </row>
    <row r="357" spans="2:5" x14ac:dyDescent="0.25">
      <c r="B357" s="44"/>
      <c r="C357" s="44"/>
      <c r="D357" s="44"/>
      <c r="E357" s="44"/>
    </row>
    <row r="358" spans="2:5" x14ac:dyDescent="0.25">
      <c r="B358" s="44"/>
      <c r="C358" s="44"/>
      <c r="D358" s="44"/>
      <c r="E358" s="44"/>
    </row>
    <row r="359" spans="2:5" x14ac:dyDescent="0.25">
      <c r="B359" s="44"/>
      <c r="C359" s="44"/>
      <c r="D359" s="44"/>
      <c r="E359" s="44"/>
    </row>
    <row r="360" spans="2:5" x14ac:dyDescent="0.25">
      <c r="B360" s="44"/>
      <c r="C360" s="44"/>
      <c r="D360" s="44"/>
      <c r="E360" s="44"/>
    </row>
    <row r="361" spans="2:5" x14ac:dyDescent="0.25">
      <c r="B361" s="44"/>
      <c r="C361" s="44"/>
      <c r="D361" s="44"/>
      <c r="E361" s="44"/>
    </row>
    <row r="362" spans="2:5" x14ac:dyDescent="0.25">
      <c r="B362" s="44"/>
      <c r="C362" s="44"/>
      <c r="D362" s="44"/>
      <c r="E362" s="44"/>
    </row>
    <row r="363" spans="2:5" x14ac:dyDescent="0.25">
      <c r="B363" s="44"/>
      <c r="C363" s="44"/>
      <c r="D363" s="44"/>
      <c r="E363" s="44"/>
    </row>
    <row r="364" spans="2:5" x14ac:dyDescent="0.25">
      <c r="B364" s="44"/>
      <c r="C364" s="44"/>
      <c r="D364" s="44"/>
      <c r="E364" s="44"/>
    </row>
    <row r="365" spans="2:5" x14ac:dyDescent="0.25">
      <c r="B365" s="44"/>
      <c r="C365" s="44"/>
      <c r="D365" s="44"/>
      <c r="E365" s="44"/>
    </row>
    <row r="366" spans="2:5" x14ac:dyDescent="0.25">
      <c r="B366" s="44"/>
      <c r="C366" s="44"/>
      <c r="D366" s="44"/>
      <c r="E366" s="44"/>
    </row>
    <row r="367" spans="2:5" x14ac:dyDescent="0.25">
      <c r="B367" s="44"/>
      <c r="C367" s="44"/>
      <c r="D367" s="44"/>
      <c r="E367" s="44"/>
    </row>
    <row r="368" spans="2:5" x14ac:dyDescent="0.25">
      <c r="B368" s="44"/>
      <c r="C368" s="44"/>
      <c r="D368" s="44"/>
      <c r="E368" s="44"/>
    </row>
    <row r="369" spans="2:5" x14ac:dyDescent="0.25">
      <c r="B369" s="44"/>
      <c r="C369" s="44"/>
      <c r="D369" s="44"/>
      <c r="E369" s="44"/>
    </row>
    <row r="370" spans="2:5" x14ac:dyDescent="0.25">
      <c r="B370" s="44"/>
      <c r="C370" s="44"/>
      <c r="D370" s="44"/>
      <c r="E370" s="44"/>
    </row>
    <row r="371" spans="2:5" x14ac:dyDescent="0.25">
      <c r="B371" s="44"/>
      <c r="C371" s="44"/>
      <c r="D371" s="44"/>
      <c r="E371" s="44"/>
    </row>
    <row r="372" spans="2:5" x14ac:dyDescent="0.25">
      <c r="B372" s="44"/>
      <c r="C372" s="44"/>
      <c r="D372" s="44"/>
      <c r="E372" s="44"/>
    </row>
    <row r="373" spans="2:5" x14ac:dyDescent="0.25">
      <c r="B373" s="44"/>
      <c r="C373" s="44"/>
      <c r="D373" s="44"/>
      <c r="E373" s="44"/>
    </row>
    <row r="374" spans="2:5" x14ac:dyDescent="0.25">
      <c r="B374" s="44"/>
      <c r="C374" s="44"/>
      <c r="D374" s="44"/>
      <c r="E374" s="44"/>
    </row>
    <row r="375" spans="2:5" x14ac:dyDescent="0.25">
      <c r="B375" s="44"/>
      <c r="C375" s="44"/>
      <c r="D375" s="44"/>
      <c r="E375" s="44"/>
    </row>
    <row r="376" spans="2:5" x14ac:dyDescent="0.25">
      <c r="B376" s="44"/>
      <c r="C376" s="44"/>
      <c r="D376" s="44"/>
      <c r="E376" s="44"/>
    </row>
    <row r="377" spans="2:5" x14ac:dyDescent="0.25">
      <c r="B377" s="44"/>
      <c r="C377" s="44"/>
      <c r="D377" s="44"/>
      <c r="E377" s="44"/>
    </row>
    <row r="378" spans="2:5" x14ac:dyDescent="0.25">
      <c r="B378" s="44"/>
      <c r="C378" s="44"/>
      <c r="D378" s="44"/>
      <c r="E378" s="44"/>
    </row>
    <row r="379" spans="2:5" x14ac:dyDescent="0.25">
      <c r="B379" s="44"/>
      <c r="C379" s="44"/>
      <c r="D379" s="44"/>
      <c r="E379" s="44"/>
    </row>
    <row r="380" spans="2:5" x14ac:dyDescent="0.25">
      <c r="B380" s="44"/>
      <c r="C380" s="44"/>
      <c r="D380" s="44"/>
      <c r="E380" s="44"/>
    </row>
    <row r="381" spans="2:5" x14ac:dyDescent="0.25">
      <c r="B381" s="44"/>
      <c r="C381" s="44"/>
      <c r="D381" s="44"/>
      <c r="E381" s="44"/>
    </row>
    <row r="382" spans="2:5" x14ac:dyDescent="0.25">
      <c r="B382" s="44"/>
      <c r="C382" s="44"/>
      <c r="D382" s="44"/>
      <c r="E382" s="44"/>
    </row>
    <row r="383" spans="2:5" x14ac:dyDescent="0.25">
      <c r="B383" s="44"/>
      <c r="C383" s="44"/>
      <c r="D383" s="44"/>
      <c r="E383" s="44"/>
    </row>
    <row r="384" spans="2:5" x14ac:dyDescent="0.25">
      <c r="B384" s="44"/>
      <c r="C384" s="44"/>
      <c r="D384" s="44"/>
      <c r="E384" s="44"/>
    </row>
    <row r="385" spans="2:5" x14ac:dyDescent="0.25">
      <c r="B385" s="44"/>
      <c r="C385" s="44"/>
      <c r="D385" s="44"/>
      <c r="E385" s="44"/>
    </row>
    <row r="386" spans="2:5" x14ac:dyDescent="0.25">
      <c r="B386" s="44"/>
      <c r="C386" s="44"/>
      <c r="D386" s="44"/>
      <c r="E386" s="44"/>
    </row>
    <row r="387" spans="2:5" x14ac:dyDescent="0.25">
      <c r="B387" s="44"/>
      <c r="C387" s="44"/>
      <c r="D387" s="44"/>
      <c r="E387" s="44"/>
    </row>
    <row r="388" spans="2:5" x14ac:dyDescent="0.25">
      <c r="B388" s="44"/>
      <c r="C388" s="44"/>
      <c r="D388" s="44"/>
      <c r="E388" s="44"/>
    </row>
    <row r="389" spans="2:5" x14ac:dyDescent="0.25">
      <c r="B389" s="44"/>
      <c r="C389" s="44"/>
      <c r="D389" s="44"/>
      <c r="E389" s="44"/>
    </row>
    <row r="390" spans="2:5" x14ac:dyDescent="0.25">
      <c r="B390" s="44"/>
      <c r="C390" s="44"/>
      <c r="D390" s="44"/>
      <c r="E390" s="44"/>
    </row>
    <row r="391" spans="2:5" x14ac:dyDescent="0.25">
      <c r="B391" s="44"/>
      <c r="C391" s="44"/>
      <c r="D391" s="44"/>
      <c r="E391" s="44"/>
    </row>
    <row r="392" spans="2:5" x14ac:dyDescent="0.25">
      <c r="B392" s="44"/>
      <c r="C392" s="44"/>
      <c r="D392" s="44"/>
      <c r="E392" s="44"/>
    </row>
    <row r="393" spans="2:5" x14ac:dyDescent="0.25">
      <c r="B393" s="44"/>
      <c r="C393" s="44"/>
      <c r="D393" s="44"/>
      <c r="E393" s="44"/>
    </row>
    <row r="394" spans="2:5" x14ac:dyDescent="0.25">
      <c r="B394" s="44"/>
      <c r="C394" s="44"/>
      <c r="D394" s="44"/>
      <c r="E394" s="44"/>
    </row>
    <row r="395" spans="2:5" x14ac:dyDescent="0.25">
      <c r="B395" s="44"/>
      <c r="C395" s="44"/>
      <c r="D395" s="44"/>
      <c r="E395" s="44"/>
    </row>
    <row r="396" spans="2:5" x14ac:dyDescent="0.25">
      <c r="B396" s="44"/>
      <c r="C396" s="44"/>
      <c r="D396" s="44"/>
      <c r="E396" s="44"/>
    </row>
    <row r="397" spans="2:5" x14ac:dyDescent="0.25">
      <c r="B397" s="44"/>
      <c r="C397" s="44"/>
      <c r="D397" s="44"/>
      <c r="E397" s="44"/>
    </row>
    <row r="398" spans="2:5" x14ac:dyDescent="0.25">
      <c r="B398" s="44"/>
      <c r="C398" s="44"/>
      <c r="D398" s="44"/>
      <c r="E398" s="44"/>
    </row>
    <row r="399" spans="2:5" x14ac:dyDescent="0.25">
      <c r="B399" s="44"/>
      <c r="C399" s="44"/>
      <c r="D399" s="44"/>
      <c r="E399" s="44"/>
    </row>
    <row r="400" spans="2:5" x14ac:dyDescent="0.25">
      <c r="B400" s="44"/>
      <c r="C400" s="44"/>
      <c r="D400" s="44"/>
      <c r="E400" s="44"/>
    </row>
    <row r="401" spans="2:5" x14ac:dyDescent="0.25">
      <c r="B401" s="44"/>
      <c r="C401" s="44"/>
      <c r="D401" s="44"/>
      <c r="E401" s="44"/>
    </row>
    <row r="402" spans="2:5" x14ac:dyDescent="0.25">
      <c r="B402" s="44"/>
      <c r="C402" s="44"/>
      <c r="D402" s="44"/>
      <c r="E402" s="44"/>
    </row>
    <row r="403" spans="2:5" x14ac:dyDescent="0.25">
      <c r="B403" s="44"/>
      <c r="C403" s="44"/>
      <c r="D403" s="44"/>
      <c r="E403" s="44"/>
    </row>
    <row r="404" spans="2:5" x14ac:dyDescent="0.25">
      <c r="B404" s="44"/>
      <c r="C404" s="44"/>
      <c r="D404" s="44"/>
      <c r="E404" s="44"/>
    </row>
    <row r="405" spans="2:5" x14ac:dyDescent="0.25">
      <c r="B405" s="44"/>
      <c r="C405" s="44"/>
      <c r="D405" s="44"/>
      <c r="E405" s="44"/>
    </row>
    <row r="406" spans="2:5" x14ac:dyDescent="0.25">
      <c r="B406" s="44"/>
      <c r="C406" s="44"/>
      <c r="D406" s="44"/>
      <c r="E406" s="44"/>
    </row>
    <row r="407" spans="2:5" x14ac:dyDescent="0.25">
      <c r="B407" s="44"/>
      <c r="C407" s="44"/>
      <c r="D407" s="44"/>
      <c r="E407" s="44"/>
    </row>
    <row r="408" spans="2:5" x14ac:dyDescent="0.25">
      <c r="B408" s="44"/>
      <c r="C408" s="44"/>
      <c r="D408" s="44"/>
      <c r="E408" s="44"/>
    </row>
    <row r="409" spans="2:5" x14ac:dyDescent="0.25">
      <c r="B409" s="44"/>
      <c r="C409" s="44"/>
      <c r="D409" s="44"/>
      <c r="E409" s="44"/>
    </row>
    <row r="410" spans="2:5" x14ac:dyDescent="0.25">
      <c r="B410" s="44"/>
      <c r="C410" s="44"/>
      <c r="D410" s="44"/>
      <c r="E410" s="44"/>
    </row>
    <row r="411" spans="2:5" x14ac:dyDescent="0.25">
      <c r="B411" s="44"/>
      <c r="C411" s="44"/>
      <c r="D411" s="44"/>
      <c r="E411" s="44"/>
    </row>
    <row r="412" spans="2:5" x14ac:dyDescent="0.25">
      <c r="B412" s="44"/>
      <c r="C412" s="44"/>
      <c r="D412" s="44"/>
      <c r="E412" s="44"/>
    </row>
    <row r="413" spans="2:5" x14ac:dyDescent="0.25">
      <c r="B413" s="44"/>
      <c r="C413" s="44"/>
      <c r="D413" s="44"/>
      <c r="E413" s="44"/>
    </row>
    <row r="414" spans="2:5" x14ac:dyDescent="0.25">
      <c r="B414" s="44"/>
      <c r="C414" s="44"/>
      <c r="D414" s="44"/>
      <c r="E414" s="44"/>
    </row>
    <row r="415" spans="2:5" x14ac:dyDescent="0.25">
      <c r="B415" s="44"/>
      <c r="C415" s="44"/>
      <c r="D415" s="44"/>
      <c r="E415" s="44"/>
    </row>
    <row r="416" spans="2:5" x14ac:dyDescent="0.25">
      <c r="B416" s="44"/>
      <c r="C416" s="44"/>
      <c r="D416" s="44"/>
      <c r="E416" s="44"/>
    </row>
    <row r="417" spans="2:5" x14ac:dyDescent="0.25">
      <c r="B417" s="44"/>
      <c r="C417" s="44"/>
      <c r="D417" s="44"/>
      <c r="E417" s="44"/>
    </row>
    <row r="418" spans="2:5" x14ac:dyDescent="0.25">
      <c r="B418" s="44"/>
      <c r="C418" s="44"/>
      <c r="D418" s="44"/>
      <c r="E418" s="44"/>
    </row>
    <row r="419" spans="2:5" x14ac:dyDescent="0.25">
      <c r="B419" s="44"/>
      <c r="C419" s="44"/>
      <c r="D419" s="44"/>
      <c r="E419" s="44"/>
    </row>
    <row r="420" spans="2:5" x14ac:dyDescent="0.25">
      <c r="B420" s="44"/>
      <c r="C420" s="44"/>
      <c r="D420" s="44"/>
      <c r="E420" s="44"/>
    </row>
    <row r="421" spans="2:5" x14ac:dyDescent="0.25">
      <c r="B421" s="44"/>
      <c r="C421" s="44"/>
      <c r="D421" s="44"/>
      <c r="E421" s="44"/>
    </row>
    <row r="422" spans="2:5" x14ac:dyDescent="0.25">
      <c r="B422" s="44"/>
      <c r="C422" s="44"/>
      <c r="D422" s="44"/>
      <c r="E422" s="44"/>
    </row>
    <row r="423" spans="2:5" x14ac:dyDescent="0.25">
      <c r="B423" s="44"/>
      <c r="C423" s="44"/>
      <c r="D423" s="44"/>
      <c r="E423" s="44"/>
    </row>
    <row r="424" spans="2:5" x14ac:dyDescent="0.25">
      <c r="B424" s="44"/>
      <c r="C424" s="44"/>
      <c r="D424" s="44"/>
      <c r="E424" s="44"/>
    </row>
    <row r="425" spans="2:5" x14ac:dyDescent="0.25">
      <c r="B425" s="44"/>
      <c r="C425" s="44"/>
      <c r="D425" s="44"/>
      <c r="E425" s="44"/>
    </row>
    <row r="426" spans="2:5" x14ac:dyDescent="0.25">
      <c r="B426" s="44"/>
      <c r="C426" s="44"/>
      <c r="D426" s="44"/>
      <c r="E426" s="44"/>
    </row>
    <row r="427" spans="2:5" x14ac:dyDescent="0.25">
      <c r="B427" s="44"/>
      <c r="C427" s="44"/>
      <c r="D427" s="44"/>
      <c r="E427" s="44"/>
    </row>
    <row r="428" spans="2:5" x14ac:dyDescent="0.25">
      <c r="B428" s="44"/>
      <c r="C428" s="44"/>
      <c r="D428" s="44"/>
      <c r="E428" s="44"/>
    </row>
    <row r="429" spans="2:5" x14ac:dyDescent="0.25">
      <c r="B429" s="44"/>
      <c r="C429" s="44"/>
      <c r="D429" s="44"/>
      <c r="E429" s="44"/>
    </row>
    <row r="430" spans="2:5" x14ac:dyDescent="0.25">
      <c r="B430" s="44"/>
      <c r="C430" s="44"/>
      <c r="D430" s="44"/>
      <c r="E430" s="44"/>
    </row>
    <row r="431" spans="2:5" x14ac:dyDescent="0.25">
      <c r="B431" s="44"/>
      <c r="C431" s="44"/>
      <c r="D431" s="44"/>
      <c r="E431" s="44"/>
    </row>
    <row r="432" spans="2:5" x14ac:dyDescent="0.25">
      <c r="B432" s="44"/>
      <c r="C432" s="44"/>
      <c r="D432" s="44"/>
      <c r="E432" s="44"/>
    </row>
    <row r="433" spans="2:5" x14ac:dyDescent="0.25">
      <c r="B433" s="44"/>
      <c r="C433" s="44"/>
      <c r="D433" s="44"/>
      <c r="E433" s="44"/>
    </row>
    <row r="434" spans="2:5" x14ac:dyDescent="0.25">
      <c r="B434" s="44"/>
      <c r="C434" s="44"/>
      <c r="D434" s="44"/>
      <c r="E434" s="44"/>
    </row>
    <row r="435" spans="2:5" x14ac:dyDescent="0.25">
      <c r="B435" s="44"/>
      <c r="C435" s="44"/>
      <c r="D435" s="44"/>
      <c r="E435" s="44"/>
    </row>
    <row r="436" spans="2:5" x14ac:dyDescent="0.25">
      <c r="B436" s="44"/>
      <c r="C436" s="44"/>
      <c r="D436" s="44"/>
      <c r="E436" s="44"/>
    </row>
    <row r="437" spans="2:5" x14ac:dyDescent="0.25">
      <c r="B437" s="44"/>
      <c r="C437" s="44"/>
      <c r="D437" s="44"/>
      <c r="E437" s="44"/>
    </row>
    <row r="438" spans="2:5" x14ac:dyDescent="0.25">
      <c r="B438" s="44"/>
      <c r="C438" s="44"/>
      <c r="D438" s="44"/>
      <c r="E438" s="44"/>
    </row>
    <row r="439" spans="2:5" x14ac:dyDescent="0.25">
      <c r="B439" s="44"/>
      <c r="C439" s="44"/>
      <c r="D439" s="44"/>
      <c r="E439" s="44"/>
    </row>
    <row r="440" spans="2:5" x14ac:dyDescent="0.25">
      <c r="B440" s="44"/>
      <c r="C440" s="44"/>
      <c r="D440" s="44"/>
      <c r="E440" s="44"/>
    </row>
    <row r="441" spans="2:5" x14ac:dyDescent="0.25">
      <c r="B441" s="44"/>
      <c r="C441" s="44"/>
      <c r="D441" s="44"/>
      <c r="E441" s="44"/>
    </row>
    <row r="442" spans="2:5" x14ac:dyDescent="0.25">
      <c r="B442" s="44"/>
      <c r="C442" s="44"/>
      <c r="D442" s="44"/>
      <c r="E442" s="44"/>
    </row>
    <row r="443" spans="2:5" x14ac:dyDescent="0.25">
      <c r="B443" s="44"/>
      <c r="C443" s="44"/>
      <c r="D443" s="44"/>
      <c r="E443" s="44"/>
    </row>
    <row r="444" spans="2:5" x14ac:dyDescent="0.25">
      <c r="B444" s="44"/>
      <c r="C444" s="44"/>
      <c r="D444" s="44"/>
      <c r="E444" s="44"/>
    </row>
    <row r="445" spans="2:5" x14ac:dyDescent="0.25">
      <c r="B445" s="44"/>
      <c r="C445" s="44"/>
      <c r="D445" s="44"/>
      <c r="E445" s="44"/>
    </row>
    <row r="446" spans="2:5" x14ac:dyDescent="0.25">
      <c r="B446" s="44"/>
      <c r="C446" s="44"/>
      <c r="D446" s="44"/>
      <c r="E446" s="44"/>
    </row>
    <row r="447" spans="2:5" x14ac:dyDescent="0.25">
      <c r="B447" s="44"/>
      <c r="C447" s="44"/>
      <c r="D447" s="44"/>
      <c r="E447" s="44"/>
    </row>
    <row r="448" spans="2:5" x14ac:dyDescent="0.25">
      <c r="B448" s="44"/>
      <c r="C448" s="44"/>
      <c r="D448" s="44"/>
      <c r="E448" s="44"/>
    </row>
    <row r="449" spans="2:5" x14ac:dyDescent="0.25">
      <c r="B449" s="44"/>
      <c r="C449" s="44"/>
      <c r="D449" s="44"/>
      <c r="E449" s="44"/>
    </row>
    <row r="450" spans="2:5" x14ac:dyDescent="0.25">
      <c r="B450" s="44"/>
      <c r="C450" s="44"/>
      <c r="D450" s="44"/>
      <c r="E450" s="44"/>
    </row>
    <row r="451" spans="2:5" x14ac:dyDescent="0.25">
      <c r="B451" s="44"/>
      <c r="C451" s="44"/>
      <c r="D451" s="44"/>
      <c r="E451" s="44"/>
    </row>
    <row r="452" spans="2:5" x14ac:dyDescent="0.25">
      <c r="B452" s="44"/>
      <c r="C452" s="44"/>
      <c r="D452" s="44"/>
      <c r="E452" s="44"/>
    </row>
    <row r="453" spans="2:5" x14ac:dyDescent="0.25">
      <c r="B453" s="44"/>
      <c r="C453" s="44"/>
      <c r="D453" s="44"/>
      <c r="E453" s="44"/>
    </row>
    <row r="454" spans="2:5" x14ac:dyDescent="0.25">
      <c r="B454" s="44"/>
      <c r="C454" s="44"/>
      <c r="D454" s="44"/>
      <c r="E454" s="44"/>
    </row>
    <row r="455" spans="2:5" x14ac:dyDescent="0.25">
      <c r="B455" s="44"/>
      <c r="C455" s="44"/>
      <c r="D455" s="44"/>
      <c r="E455" s="44"/>
    </row>
    <row r="456" spans="2:5" x14ac:dyDescent="0.25">
      <c r="B456" s="44"/>
      <c r="C456" s="44"/>
      <c r="D456" s="44"/>
      <c r="E456" s="44"/>
    </row>
    <row r="457" spans="2:5" x14ac:dyDescent="0.25">
      <c r="B457" s="44"/>
      <c r="C457" s="44"/>
      <c r="D457" s="44"/>
      <c r="E457" s="44"/>
    </row>
    <row r="458" spans="2:5" x14ac:dyDescent="0.25">
      <c r="B458" s="44"/>
      <c r="C458" s="44"/>
      <c r="D458" s="44"/>
      <c r="E458" s="44"/>
    </row>
    <row r="459" spans="2:5" x14ac:dyDescent="0.25">
      <c r="B459" s="44"/>
      <c r="C459" s="44"/>
      <c r="D459" s="44"/>
      <c r="E459" s="44"/>
    </row>
    <row r="460" spans="2:5" x14ac:dyDescent="0.25">
      <c r="B460" s="44"/>
      <c r="C460" s="44"/>
      <c r="D460" s="44"/>
      <c r="E460" s="44"/>
    </row>
    <row r="461" spans="2:5" x14ac:dyDescent="0.25">
      <c r="B461" s="44"/>
      <c r="C461" s="44"/>
      <c r="D461" s="44"/>
      <c r="E461" s="44"/>
    </row>
    <row r="462" spans="2:5" x14ac:dyDescent="0.25">
      <c r="B462" s="44"/>
      <c r="C462" s="44"/>
      <c r="D462" s="44"/>
      <c r="E462" s="44"/>
    </row>
    <row r="463" spans="2:5" x14ac:dyDescent="0.25">
      <c r="B463" s="44"/>
      <c r="C463" s="44"/>
      <c r="D463" s="44"/>
      <c r="E463" s="44"/>
    </row>
    <row r="464" spans="2:5" x14ac:dyDescent="0.25">
      <c r="B464" s="44"/>
      <c r="C464" s="44"/>
      <c r="D464" s="44"/>
      <c r="E464" s="44"/>
    </row>
    <row r="465" spans="2:5" x14ac:dyDescent="0.25">
      <c r="B465" s="44"/>
      <c r="C465" s="44"/>
      <c r="D465" s="44"/>
      <c r="E465" s="44"/>
    </row>
    <row r="466" spans="2:5" x14ac:dyDescent="0.25">
      <c r="B466" s="44"/>
      <c r="C466" s="44"/>
      <c r="D466" s="44"/>
      <c r="E466" s="44"/>
    </row>
    <row r="467" spans="2:5" x14ac:dyDescent="0.25">
      <c r="B467" s="44"/>
      <c r="C467" s="44"/>
      <c r="D467" s="44"/>
      <c r="E467" s="44"/>
    </row>
    <row r="468" spans="2:5" x14ac:dyDescent="0.25">
      <c r="B468" s="44"/>
      <c r="C468" s="44"/>
      <c r="D468" s="44"/>
      <c r="E468" s="44"/>
    </row>
    <row r="469" spans="2:5" x14ac:dyDescent="0.25">
      <c r="B469" s="44"/>
      <c r="C469" s="44"/>
      <c r="D469" s="44"/>
      <c r="E469" s="44"/>
    </row>
    <row r="470" spans="2:5" x14ac:dyDescent="0.25">
      <c r="B470" s="44"/>
      <c r="C470" s="44"/>
      <c r="D470" s="44"/>
      <c r="E470" s="44"/>
    </row>
    <row r="471" spans="2:5" x14ac:dyDescent="0.25">
      <c r="B471" s="44"/>
      <c r="C471" s="44"/>
      <c r="D471" s="44"/>
      <c r="E471" s="44"/>
    </row>
    <row r="472" spans="2:5" x14ac:dyDescent="0.25">
      <c r="B472" s="44"/>
      <c r="C472" s="44"/>
      <c r="D472" s="44"/>
      <c r="E472" s="44"/>
    </row>
    <row r="473" spans="2:5" x14ac:dyDescent="0.25">
      <c r="B473" s="44"/>
      <c r="C473" s="44"/>
      <c r="D473" s="44"/>
      <c r="E473" s="44"/>
    </row>
    <row r="474" spans="2:5" x14ac:dyDescent="0.25">
      <c r="B474" s="44"/>
      <c r="C474" s="44"/>
      <c r="D474" s="44"/>
      <c r="E474" s="44"/>
    </row>
    <row r="475" spans="2:5" x14ac:dyDescent="0.25">
      <c r="B475" s="44"/>
      <c r="C475" s="44"/>
      <c r="D475" s="44"/>
      <c r="E475" s="44"/>
    </row>
    <row r="476" spans="2:5" x14ac:dyDescent="0.25">
      <c r="B476" s="44"/>
      <c r="C476" s="44"/>
      <c r="D476" s="44"/>
      <c r="E476" s="44"/>
    </row>
    <row r="477" spans="2:5" x14ac:dyDescent="0.25">
      <c r="B477" s="44"/>
      <c r="C477" s="44"/>
      <c r="D477" s="44"/>
      <c r="E477" s="44"/>
    </row>
    <row r="478" spans="2:5" x14ac:dyDescent="0.25">
      <c r="B478" s="44"/>
      <c r="C478" s="44"/>
      <c r="D478" s="44"/>
      <c r="E478" s="44"/>
    </row>
    <row r="479" spans="2:5" x14ac:dyDescent="0.25">
      <c r="B479" s="44"/>
      <c r="C479" s="44"/>
      <c r="D479" s="44"/>
      <c r="E479" s="44"/>
    </row>
    <row r="480" spans="2:5" x14ac:dyDescent="0.25">
      <c r="B480" s="44"/>
      <c r="C480" s="44"/>
      <c r="D480" s="44"/>
      <c r="E480" s="44"/>
    </row>
    <row r="481" spans="2:5" x14ac:dyDescent="0.25">
      <c r="B481" s="44"/>
      <c r="C481" s="44"/>
      <c r="D481" s="44"/>
      <c r="E481" s="44"/>
    </row>
    <row r="482" spans="2:5" x14ac:dyDescent="0.25">
      <c r="B482" s="44"/>
      <c r="C482" s="44"/>
      <c r="D482" s="44"/>
      <c r="E482" s="44"/>
    </row>
    <row r="483" spans="2:5" x14ac:dyDescent="0.25">
      <c r="B483" s="44"/>
      <c r="C483" s="44"/>
      <c r="D483" s="44"/>
      <c r="E483" s="44"/>
    </row>
    <row r="484" spans="2:5" x14ac:dyDescent="0.25">
      <c r="B484" s="44"/>
      <c r="C484" s="44"/>
      <c r="D484" s="44"/>
      <c r="E484" s="44"/>
    </row>
    <row r="485" spans="2:5" x14ac:dyDescent="0.25">
      <c r="B485" s="44"/>
      <c r="C485" s="44"/>
      <c r="D485" s="44"/>
      <c r="E485" s="44"/>
    </row>
    <row r="486" spans="2:5" x14ac:dyDescent="0.25">
      <c r="B486" s="44"/>
      <c r="C486" s="44"/>
      <c r="D486" s="44"/>
      <c r="E486" s="44"/>
    </row>
    <row r="487" spans="2:5" x14ac:dyDescent="0.25">
      <c r="B487" s="44"/>
      <c r="C487" s="44"/>
      <c r="D487" s="44"/>
      <c r="E487" s="44"/>
    </row>
    <row r="488" spans="2:5" x14ac:dyDescent="0.25">
      <c r="B488" s="44"/>
      <c r="C488" s="44"/>
      <c r="D488" s="44"/>
      <c r="E488" s="44"/>
    </row>
    <row r="489" spans="2:5" x14ac:dyDescent="0.25">
      <c r="B489" s="44"/>
      <c r="C489" s="44"/>
      <c r="D489" s="44"/>
      <c r="E489" s="44"/>
    </row>
    <row r="490" spans="2:5" x14ac:dyDescent="0.25">
      <c r="B490" s="44"/>
      <c r="C490" s="44"/>
      <c r="D490" s="44"/>
      <c r="E490" s="44"/>
    </row>
    <row r="491" spans="2:5" x14ac:dyDescent="0.25">
      <c r="B491" s="44"/>
      <c r="C491" s="44"/>
      <c r="D491" s="44"/>
      <c r="E491" s="44"/>
    </row>
    <row r="492" spans="2:5" x14ac:dyDescent="0.25">
      <c r="B492" s="44"/>
      <c r="C492" s="44"/>
      <c r="D492" s="44"/>
      <c r="E492" s="44"/>
    </row>
    <row r="493" spans="2:5" x14ac:dyDescent="0.25">
      <c r="B493" s="44"/>
      <c r="C493" s="44"/>
      <c r="D493" s="44"/>
      <c r="E493" s="44"/>
    </row>
    <row r="494" spans="2:5" x14ac:dyDescent="0.25">
      <c r="B494" s="44"/>
      <c r="C494" s="44"/>
      <c r="D494" s="44"/>
      <c r="E494" s="44"/>
    </row>
    <row r="495" spans="2:5" x14ac:dyDescent="0.25">
      <c r="B495" s="44"/>
      <c r="C495" s="44"/>
      <c r="D495" s="44"/>
      <c r="E495" s="44"/>
    </row>
    <row r="496" spans="2:5" x14ac:dyDescent="0.25">
      <c r="B496" s="44"/>
      <c r="C496" s="44"/>
      <c r="D496" s="44"/>
      <c r="E496" s="44"/>
    </row>
    <row r="497" spans="2:5" x14ac:dyDescent="0.25">
      <c r="B497" s="44"/>
      <c r="C497" s="44"/>
      <c r="D497" s="44"/>
      <c r="E497" s="44"/>
    </row>
    <row r="498" spans="2:5" x14ac:dyDescent="0.25">
      <c r="B498" s="44"/>
      <c r="C498" s="44"/>
      <c r="D498" s="44"/>
      <c r="E498" s="44"/>
    </row>
    <row r="499" spans="2:5" x14ac:dyDescent="0.25">
      <c r="B499" s="44"/>
      <c r="C499" s="44"/>
      <c r="D499" s="44"/>
      <c r="E499" s="44"/>
    </row>
    <row r="500" spans="2:5" x14ac:dyDescent="0.25">
      <c r="B500" s="44"/>
      <c r="C500" s="44"/>
      <c r="D500" s="44"/>
      <c r="E500" s="44"/>
    </row>
    <row r="501" spans="2:5" x14ac:dyDescent="0.25">
      <c r="B501" s="44"/>
      <c r="C501" s="44"/>
      <c r="D501" s="44"/>
      <c r="E501" s="44"/>
    </row>
    <row r="502" spans="2:5" x14ac:dyDescent="0.25">
      <c r="B502" s="44"/>
      <c r="C502" s="44"/>
      <c r="D502" s="44"/>
      <c r="E502" s="44"/>
    </row>
    <row r="503" spans="2:5" x14ac:dyDescent="0.25">
      <c r="B503" s="44"/>
      <c r="C503" s="44"/>
      <c r="D503" s="44"/>
      <c r="E503" s="44"/>
    </row>
    <row r="504" spans="2:5" x14ac:dyDescent="0.25">
      <c r="B504" s="44"/>
      <c r="C504" s="44"/>
      <c r="D504" s="44"/>
      <c r="E504" s="44"/>
    </row>
    <row r="505" spans="2:5" x14ac:dyDescent="0.25">
      <c r="B505" s="44"/>
      <c r="C505" s="44"/>
      <c r="D505" s="44"/>
      <c r="E505" s="44"/>
    </row>
    <row r="506" spans="2:5" x14ac:dyDescent="0.25">
      <c r="B506" s="44"/>
      <c r="C506" s="44"/>
      <c r="D506" s="44"/>
      <c r="E506" s="44"/>
    </row>
    <row r="507" spans="2:5" x14ac:dyDescent="0.25">
      <c r="B507" s="44"/>
      <c r="C507" s="44"/>
      <c r="D507" s="44"/>
      <c r="E507" s="44"/>
    </row>
    <row r="508" spans="2:5" x14ac:dyDescent="0.25">
      <c r="B508" s="44"/>
      <c r="C508" s="44"/>
      <c r="D508" s="44"/>
      <c r="E508" s="44"/>
    </row>
    <row r="509" spans="2:5" x14ac:dyDescent="0.25">
      <c r="B509" s="44"/>
      <c r="C509" s="44"/>
      <c r="D509" s="44"/>
      <c r="E509" s="44"/>
    </row>
    <row r="510" spans="2:5" x14ac:dyDescent="0.25">
      <c r="B510" s="44"/>
      <c r="C510" s="44"/>
      <c r="D510" s="44"/>
      <c r="E510" s="44"/>
    </row>
    <row r="511" spans="2:5" x14ac:dyDescent="0.25">
      <c r="B511" s="44"/>
      <c r="C511" s="44"/>
      <c r="D511" s="44"/>
      <c r="E511" s="44"/>
    </row>
    <row r="512" spans="2:5" x14ac:dyDescent="0.25">
      <c r="B512" s="44"/>
      <c r="C512" s="44"/>
      <c r="D512" s="44"/>
      <c r="E512" s="44"/>
    </row>
    <row r="513" spans="2:5" x14ac:dyDescent="0.25">
      <c r="B513" s="44"/>
      <c r="C513" s="44"/>
      <c r="D513" s="44"/>
      <c r="E513" s="44"/>
    </row>
    <row r="514" spans="2:5" x14ac:dyDescent="0.25">
      <c r="B514" s="44"/>
      <c r="C514" s="44"/>
      <c r="D514" s="44"/>
      <c r="E514" s="44"/>
    </row>
    <row r="515" spans="2:5" x14ac:dyDescent="0.25">
      <c r="B515" s="44"/>
      <c r="C515" s="44"/>
      <c r="D515" s="44"/>
      <c r="E515" s="44"/>
    </row>
    <row r="516" spans="2:5" x14ac:dyDescent="0.25">
      <c r="B516" s="44"/>
      <c r="C516" s="44"/>
      <c r="D516" s="44"/>
      <c r="E516" s="44"/>
    </row>
    <row r="517" spans="2:5" x14ac:dyDescent="0.25">
      <c r="B517" s="44"/>
      <c r="C517" s="44"/>
      <c r="D517" s="44"/>
      <c r="E517" s="44"/>
    </row>
    <row r="518" spans="2:5" x14ac:dyDescent="0.25">
      <c r="B518" s="44"/>
      <c r="C518" s="44"/>
      <c r="D518" s="44"/>
      <c r="E518" s="44"/>
    </row>
    <row r="519" spans="2:5" x14ac:dyDescent="0.25">
      <c r="B519" s="44"/>
      <c r="C519" s="44"/>
      <c r="D519" s="44"/>
      <c r="E519" s="44"/>
    </row>
    <row r="520" spans="2:5" x14ac:dyDescent="0.25">
      <c r="B520" s="44"/>
      <c r="C520" s="44"/>
      <c r="D520" s="44"/>
      <c r="E520" s="44"/>
    </row>
    <row r="521" spans="2:5" x14ac:dyDescent="0.25">
      <c r="B521" s="44"/>
      <c r="C521" s="44"/>
      <c r="D521" s="44"/>
      <c r="E521" s="44"/>
    </row>
    <row r="522" spans="2:5" x14ac:dyDescent="0.25">
      <c r="B522" s="44"/>
      <c r="C522" s="44"/>
      <c r="D522" s="44"/>
      <c r="E522" s="44"/>
    </row>
    <row r="523" spans="2:5" x14ac:dyDescent="0.25">
      <c r="B523" s="44"/>
      <c r="C523" s="44"/>
      <c r="D523" s="44"/>
      <c r="E523" s="44"/>
    </row>
    <row r="524" spans="2:5" x14ac:dyDescent="0.25">
      <c r="B524" s="44"/>
      <c r="C524" s="44"/>
      <c r="D524" s="44"/>
      <c r="E524" s="44"/>
    </row>
    <row r="525" spans="2:5" x14ac:dyDescent="0.25">
      <c r="B525" s="44"/>
      <c r="C525" s="44"/>
      <c r="D525" s="44"/>
      <c r="E525" s="44"/>
    </row>
    <row r="526" spans="2:5" x14ac:dyDescent="0.25">
      <c r="B526" s="44"/>
      <c r="C526" s="44"/>
      <c r="D526" s="44"/>
      <c r="E526" s="44"/>
    </row>
    <row r="527" spans="2:5" x14ac:dyDescent="0.25">
      <c r="B527" s="44"/>
      <c r="C527" s="44"/>
      <c r="D527" s="44"/>
      <c r="E527" s="44"/>
    </row>
    <row r="528" spans="2:5" x14ac:dyDescent="0.25">
      <c r="B528" s="44"/>
      <c r="C528" s="44"/>
      <c r="D528" s="44"/>
      <c r="E528" s="44"/>
    </row>
    <row r="529" spans="2:5" x14ac:dyDescent="0.25">
      <c r="B529" s="44"/>
      <c r="C529" s="44"/>
      <c r="D529" s="44"/>
      <c r="E529" s="44"/>
    </row>
    <row r="530" spans="2:5" x14ac:dyDescent="0.25">
      <c r="B530" s="44"/>
      <c r="C530" s="44"/>
      <c r="D530" s="44"/>
      <c r="E530" s="44"/>
    </row>
    <row r="531" spans="2:5" x14ac:dyDescent="0.25">
      <c r="B531" s="44"/>
      <c r="C531" s="44"/>
      <c r="D531" s="44"/>
      <c r="E531" s="44"/>
    </row>
    <row r="532" spans="2:5" x14ac:dyDescent="0.25">
      <c r="B532" s="44"/>
      <c r="C532" s="44"/>
      <c r="D532" s="44"/>
      <c r="E532" s="44"/>
    </row>
    <row r="533" spans="2:5" x14ac:dyDescent="0.25">
      <c r="B533" s="44"/>
      <c r="C533" s="44"/>
      <c r="D533" s="44"/>
      <c r="E533" s="44"/>
    </row>
    <row r="534" spans="2:5" x14ac:dyDescent="0.25">
      <c r="B534" s="44"/>
      <c r="C534" s="44"/>
      <c r="D534" s="44"/>
      <c r="E534" s="44"/>
    </row>
    <row r="535" spans="2:5" x14ac:dyDescent="0.25">
      <c r="B535" s="44"/>
      <c r="C535" s="44"/>
      <c r="D535" s="44"/>
      <c r="E535" s="44"/>
    </row>
    <row r="536" spans="2:5" x14ac:dyDescent="0.25">
      <c r="B536" s="44"/>
      <c r="C536" s="44"/>
      <c r="D536" s="44"/>
      <c r="E536" s="44"/>
    </row>
    <row r="537" spans="2:5" x14ac:dyDescent="0.25">
      <c r="B537" s="44"/>
      <c r="C537" s="44"/>
      <c r="D537" s="44"/>
      <c r="E537" s="44"/>
    </row>
    <row r="538" spans="2:5" x14ac:dyDescent="0.25">
      <c r="B538" s="44"/>
      <c r="C538" s="44"/>
      <c r="D538" s="44"/>
      <c r="E538" s="44"/>
    </row>
    <row r="539" spans="2:5" x14ac:dyDescent="0.25">
      <c r="B539" s="44"/>
      <c r="C539" s="44"/>
      <c r="D539" s="44"/>
      <c r="E539" s="44"/>
    </row>
    <row r="540" spans="2:5" x14ac:dyDescent="0.25">
      <c r="B540" s="44"/>
      <c r="C540" s="44"/>
      <c r="D540" s="44"/>
      <c r="E540" s="44"/>
    </row>
    <row r="541" spans="2:5" x14ac:dyDescent="0.25">
      <c r="B541" s="44"/>
      <c r="C541" s="44"/>
      <c r="D541" s="44"/>
      <c r="E541" s="44"/>
    </row>
    <row r="542" spans="2:5" x14ac:dyDescent="0.25">
      <c r="B542" s="44"/>
      <c r="C542" s="44"/>
      <c r="D542" s="44"/>
      <c r="E542" s="44"/>
    </row>
    <row r="543" spans="2:5" x14ac:dyDescent="0.25">
      <c r="B543" s="44"/>
      <c r="C543" s="44"/>
      <c r="D543" s="44"/>
      <c r="E543" s="44"/>
    </row>
    <row r="544" spans="2:5" x14ac:dyDescent="0.25">
      <c r="B544" s="44"/>
      <c r="C544" s="44"/>
      <c r="D544" s="44"/>
      <c r="E544" s="44"/>
    </row>
    <row r="545" spans="2:5" x14ac:dyDescent="0.25">
      <c r="B545" s="44"/>
      <c r="C545" s="44"/>
      <c r="D545" s="44"/>
      <c r="E545" s="44"/>
    </row>
    <row r="546" spans="2:5" x14ac:dyDescent="0.25">
      <c r="B546" s="44"/>
      <c r="C546" s="44"/>
      <c r="D546" s="44"/>
      <c r="E546" s="44"/>
    </row>
    <row r="547" spans="2:5" x14ac:dyDescent="0.25">
      <c r="B547" s="44"/>
      <c r="C547" s="44"/>
      <c r="D547" s="44"/>
      <c r="E547" s="44"/>
    </row>
    <row r="548" spans="2:5" x14ac:dyDescent="0.25">
      <c r="B548" s="44"/>
      <c r="C548" s="44"/>
      <c r="D548" s="44"/>
      <c r="E548" s="44"/>
    </row>
    <row r="549" spans="2:5" x14ac:dyDescent="0.25">
      <c r="B549" s="44"/>
      <c r="C549" s="44"/>
      <c r="D549" s="44"/>
      <c r="E549" s="44"/>
    </row>
    <row r="550" spans="2:5" x14ac:dyDescent="0.25">
      <c r="B550" s="44"/>
      <c r="C550" s="44"/>
      <c r="D550" s="44"/>
      <c r="E550" s="44"/>
    </row>
    <row r="551" spans="2:5" x14ac:dyDescent="0.25">
      <c r="B551" s="44"/>
      <c r="C551" s="44"/>
      <c r="D551" s="44"/>
      <c r="E551" s="44"/>
    </row>
    <row r="552" spans="2:5" x14ac:dyDescent="0.25">
      <c r="B552" s="44"/>
      <c r="C552" s="44"/>
      <c r="D552" s="44"/>
      <c r="E552" s="44"/>
    </row>
    <row r="553" spans="2:5" x14ac:dyDescent="0.25">
      <c r="B553" s="44"/>
      <c r="C553" s="44"/>
      <c r="D553" s="44"/>
      <c r="E553" s="44"/>
    </row>
    <row r="554" spans="2:5" x14ac:dyDescent="0.25">
      <c r="B554" s="44"/>
      <c r="C554" s="44"/>
      <c r="D554" s="44"/>
      <c r="E554" s="44"/>
    </row>
    <row r="555" spans="2:5" x14ac:dyDescent="0.25">
      <c r="B555" s="44"/>
      <c r="C555" s="44"/>
      <c r="D555" s="44"/>
      <c r="E555" s="44"/>
    </row>
    <row r="556" spans="2:5" x14ac:dyDescent="0.25">
      <c r="B556" s="44"/>
      <c r="C556" s="44"/>
      <c r="D556" s="44"/>
      <c r="E556" s="44"/>
    </row>
    <row r="557" spans="2:5" x14ac:dyDescent="0.25">
      <c r="B557" s="44"/>
      <c r="C557" s="44"/>
      <c r="D557" s="44"/>
      <c r="E557" s="44"/>
    </row>
    <row r="558" spans="2:5" x14ac:dyDescent="0.25">
      <c r="B558" s="44"/>
      <c r="C558" s="44"/>
      <c r="D558" s="44"/>
      <c r="E558" s="44"/>
    </row>
    <row r="559" spans="2:5" x14ac:dyDescent="0.25">
      <c r="B559" s="44"/>
      <c r="C559" s="44"/>
      <c r="D559" s="44"/>
      <c r="E559" s="44"/>
    </row>
    <row r="560" spans="2:5" x14ac:dyDescent="0.25">
      <c r="B560" s="44"/>
      <c r="C560" s="44"/>
      <c r="D560" s="44"/>
      <c r="E560" s="44"/>
    </row>
    <row r="561" spans="2:5" x14ac:dyDescent="0.25">
      <c r="B561" s="44"/>
      <c r="C561" s="44"/>
      <c r="D561" s="44"/>
      <c r="E561" s="44"/>
    </row>
    <row r="562" spans="2:5" x14ac:dyDescent="0.25">
      <c r="B562" s="44"/>
      <c r="C562" s="44"/>
      <c r="D562" s="44"/>
      <c r="E562" s="44"/>
    </row>
    <row r="563" spans="2:5" x14ac:dyDescent="0.25">
      <c r="B563" s="44"/>
      <c r="C563" s="44"/>
      <c r="D563" s="44"/>
      <c r="E563" s="44"/>
    </row>
    <row r="564" spans="2:5" x14ac:dyDescent="0.25">
      <c r="B564" s="44"/>
      <c r="C564" s="44"/>
      <c r="D564" s="44"/>
      <c r="E564" s="44"/>
    </row>
    <row r="565" spans="2:5" x14ac:dyDescent="0.25">
      <c r="B565" s="44"/>
      <c r="C565" s="44"/>
      <c r="D565" s="44"/>
      <c r="E565" s="44"/>
    </row>
    <row r="566" spans="2:5" x14ac:dyDescent="0.25">
      <c r="B566" s="44"/>
      <c r="C566" s="44"/>
      <c r="D566" s="44"/>
      <c r="E566" s="44"/>
    </row>
    <row r="567" spans="2:5" x14ac:dyDescent="0.25">
      <c r="B567" s="44"/>
      <c r="C567" s="44"/>
      <c r="D567" s="44"/>
      <c r="E567" s="44"/>
    </row>
    <row r="568" spans="2:5" x14ac:dyDescent="0.25">
      <c r="B568" s="44"/>
      <c r="C568" s="44"/>
      <c r="D568" s="44"/>
      <c r="E568" s="44"/>
    </row>
    <row r="569" spans="2:5" x14ac:dyDescent="0.25">
      <c r="B569" s="44"/>
      <c r="C569" s="44"/>
      <c r="D569" s="44"/>
      <c r="E569" s="44"/>
    </row>
    <row r="570" spans="2:5" x14ac:dyDescent="0.25">
      <c r="B570" s="44"/>
      <c r="C570" s="44"/>
      <c r="D570" s="44"/>
      <c r="E570" s="44"/>
    </row>
    <row r="571" spans="2:5" x14ac:dyDescent="0.25">
      <c r="B571" s="44"/>
      <c r="C571" s="44"/>
      <c r="D571" s="44"/>
      <c r="E571" s="44"/>
    </row>
    <row r="572" spans="2:5" x14ac:dyDescent="0.25">
      <c r="B572" s="44"/>
      <c r="C572" s="44"/>
      <c r="D572" s="44"/>
      <c r="E572" s="44"/>
    </row>
    <row r="573" spans="2:5" x14ac:dyDescent="0.25">
      <c r="B573" s="44"/>
      <c r="C573" s="44"/>
      <c r="D573" s="44"/>
      <c r="E573" s="44"/>
    </row>
    <row r="574" spans="2:5" x14ac:dyDescent="0.25">
      <c r="B574" s="44"/>
      <c r="C574" s="44"/>
      <c r="D574" s="44"/>
      <c r="E574" s="44"/>
    </row>
    <row r="575" spans="2:5" x14ac:dyDescent="0.25">
      <c r="B575" s="44"/>
      <c r="C575" s="44"/>
      <c r="D575" s="44"/>
      <c r="E575" s="44"/>
    </row>
    <row r="576" spans="2:5" x14ac:dyDescent="0.25">
      <c r="B576" s="44"/>
      <c r="C576" s="44"/>
      <c r="D576" s="44"/>
      <c r="E576" s="44"/>
    </row>
    <row r="577" spans="2:5" x14ac:dyDescent="0.25">
      <c r="B577" s="44"/>
      <c r="C577" s="44"/>
      <c r="D577" s="44"/>
      <c r="E577" s="44"/>
    </row>
    <row r="578" spans="2:5" x14ac:dyDescent="0.25">
      <c r="B578" s="44"/>
      <c r="C578" s="44"/>
      <c r="D578" s="44"/>
      <c r="E578" s="44"/>
    </row>
    <row r="579" spans="2:5" x14ac:dyDescent="0.25">
      <c r="B579" s="44"/>
      <c r="C579" s="44"/>
      <c r="D579" s="44"/>
      <c r="E579" s="44"/>
    </row>
    <row r="580" spans="2:5" x14ac:dyDescent="0.25">
      <c r="B580" s="44"/>
      <c r="C580" s="44"/>
      <c r="D580" s="44"/>
      <c r="E580" s="44"/>
    </row>
    <row r="581" spans="2:5" x14ac:dyDescent="0.25">
      <c r="B581" s="44"/>
      <c r="C581" s="44"/>
      <c r="D581" s="44"/>
      <c r="E581" s="44"/>
    </row>
    <row r="582" spans="2:5" x14ac:dyDescent="0.25">
      <c r="B582" s="44"/>
      <c r="C582" s="44"/>
      <c r="D582" s="44"/>
      <c r="E582" s="44"/>
    </row>
    <row r="583" spans="2:5" x14ac:dyDescent="0.25">
      <c r="B583" s="44"/>
      <c r="C583" s="44"/>
      <c r="D583" s="44"/>
      <c r="E583" s="44"/>
    </row>
    <row r="584" spans="2:5" x14ac:dyDescent="0.25">
      <c r="B584" s="44"/>
      <c r="C584" s="44"/>
      <c r="D584" s="44"/>
      <c r="E584" s="44"/>
    </row>
    <row r="585" spans="2:5" x14ac:dyDescent="0.25">
      <c r="B585" s="44"/>
      <c r="C585" s="44"/>
      <c r="D585" s="44"/>
      <c r="E585" s="44"/>
    </row>
    <row r="586" spans="2:5" x14ac:dyDescent="0.25">
      <c r="B586" s="44"/>
      <c r="C586" s="44"/>
      <c r="D586" s="44"/>
      <c r="E586" s="44"/>
    </row>
    <row r="587" spans="2:5" x14ac:dyDescent="0.25">
      <c r="B587" s="44"/>
      <c r="C587" s="44"/>
      <c r="D587" s="44"/>
      <c r="E587" s="44"/>
    </row>
    <row r="588" spans="2:5" x14ac:dyDescent="0.25">
      <c r="B588" s="44"/>
      <c r="C588" s="44"/>
      <c r="D588" s="44"/>
      <c r="E588" s="44"/>
    </row>
    <row r="589" spans="2:5" x14ac:dyDescent="0.25">
      <c r="B589" s="44"/>
      <c r="C589" s="44"/>
      <c r="D589" s="44"/>
      <c r="E589" s="44"/>
    </row>
    <row r="590" spans="2:5" x14ac:dyDescent="0.25">
      <c r="B590" s="44"/>
      <c r="C590" s="44"/>
      <c r="D590" s="44"/>
      <c r="E590" s="44"/>
    </row>
    <row r="591" spans="2:5" x14ac:dyDescent="0.25">
      <c r="B591" s="44"/>
      <c r="C591" s="44"/>
      <c r="D591" s="44"/>
      <c r="E591" s="44"/>
    </row>
    <row r="592" spans="2:5" x14ac:dyDescent="0.25">
      <c r="B592" s="44"/>
      <c r="C592" s="44"/>
      <c r="D592" s="44"/>
      <c r="E592" s="44"/>
    </row>
    <row r="593" spans="2:5" x14ac:dyDescent="0.25">
      <c r="B593" s="44"/>
      <c r="C593" s="44"/>
      <c r="D593" s="44"/>
      <c r="E593" s="44"/>
    </row>
    <row r="594" spans="2:5" x14ac:dyDescent="0.25">
      <c r="B594" s="44"/>
      <c r="C594" s="44"/>
      <c r="D594" s="44"/>
      <c r="E594" s="44"/>
    </row>
    <row r="595" spans="2:5" x14ac:dyDescent="0.25">
      <c r="B595" s="44"/>
      <c r="C595" s="44"/>
      <c r="D595" s="44"/>
      <c r="E595" s="44"/>
    </row>
    <row r="596" spans="2:5" x14ac:dyDescent="0.25">
      <c r="B596" s="44"/>
      <c r="C596" s="44"/>
      <c r="D596" s="44"/>
      <c r="E596" s="44"/>
    </row>
    <row r="597" spans="2:5" x14ac:dyDescent="0.25">
      <c r="B597" s="44"/>
      <c r="C597" s="44"/>
      <c r="D597" s="44"/>
      <c r="E597" s="44"/>
    </row>
    <row r="598" spans="2:5" x14ac:dyDescent="0.25">
      <c r="B598" s="44"/>
      <c r="C598" s="44"/>
      <c r="D598" s="44"/>
      <c r="E598" s="44"/>
    </row>
    <row r="599" spans="2:5" x14ac:dyDescent="0.25">
      <c r="B599" s="44"/>
      <c r="C599" s="44"/>
      <c r="D599" s="44"/>
      <c r="E599" s="44"/>
    </row>
    <row r="600" spans="2:5" x14ac:dyDescent="0.25">
      <c r="B600" s="44"/>
      <c r="C600" s="44"/>
      <c r="D600" s="44"/>
      <c r="E600" s="44"/>
    </row>
    <row r="601" spans="2:5" x14ac:dyDescent="0.25">
      <c r="B601" s="44"/>
      <c r="C601" s="44"/>
      <c r="D601" s="44"/>
      <c r="E601" s="44"/>
    </row>
    <row r="602" spans="2:5" x14ac:dyDescent="0.25">
      <c r="B602" s="44"/>
      <c r="C602" s="44"/>
      <c r="D602" s="44"/>
      <c r="E602" s="44"/>
    </row>
    <row r="603" spans="2:5" x14ac:dyDescent="0.25">
      <c r="B603" s="44"/>
      <c r="C603" s="44"/>
      <c r="D603" s="44"/>
      <c r="E603" s="44"/>
    </row>
    <row r="604" spans="2:5" x14ac:dyDescent="0.25">
      <c r="B604" s="44"/>
      <c r="C604" s="44"/>
      <c r="D604" s="44"/>
      <c r="E604" s="44"/>
    </row>
    <row r="605" spans="2:5" x14ac:dyDescent="0.25">
      <c r="B605" s="44"/>
      <c r="C605" s="44"/>
      <c r="D605" s="44"/>
      <c r="E605" s="44"/>
    </row>
    <row r="606" spans="2:5" x14ac:dyDescent="0.25">
      <c r="B606" s="44"/>
      <c r="C606" s="44"/>
      <c r="D606" s="44"/>
      <c r="E606" s="44"/>
    </row>
    <row r="607" spans="2:5" x14ac:dyDescent="0.25">
      <c r="B607" s="44"/>
      <c r="C607" s="44"/>
      <c r="D607" s="44"/>
      <c r="E607" s="44"/>
    </row>
    <row r="608" spans="2:5" x14ac:dyDescent="0.25">
      <c r="B608" s="44"/>
      <c r="C608" s="44"/>
      <c r="D608" s="44"/>
      <c r="E608" s="44"/>
    </row>
    <row r="609" spans="2:5" x14ac:dyDescent="0.25">
      <c r="B609" s="44"/>
      <c r="C609" s="44"/>
      <c r="D609" s="44"/>
      <c r="E609" s="44"/>
    </row>
    <row r="610" spans="2:5" x14ac:dyDescent="0.25">
      <c r="B610" s="44"/>
      <c r="C610" s="44"/>
      <c r="D610" s="44"/>
      <c r="E610" s="44"/>
    </row>
    <row r="611" spans="2:5" x14ac:dyDescent="0.25">
      <c r="B611" s="44"/>
      <c r="C611" s="44"/>
      <c r="D611" s="44"/>
      <c r="E611" s="44"/>
    </row>
    <row r="612" spans="2:5" x14ac:dyDescent="0.25">
      <c r="B612" s="44"/>
      <c r="C612" s="44"/>
      <c r="D612" s="44"/>
      <c r="E612" s="44"/>
    </row>
    <row r="613" spans="2:5" x14ac:dyDescent="0.25">
      <c r="B613" s="44"/>
      <c r="C613" s="44"/>
      <c r="D613" s="44"/>
      <c r="E613" s="44"/>
    </row>
    <row r="614" spans="2:5" x14ac:dyDescent="0.25">
      <c r="B614" s="44"/>
      <c r="C614" s="44"/>
      <c r="D614" s="44"/>
      <c r="E614" s="44"/>
    </row>
    <row r="615" spans="2:5" x14ac:dyDescent="0.25">
      <c r="B615" s="44"/>
      <c r="C615" s="44"/>
      <c r="D615" s="44"/>
      <c r="E615" s="44"/>
    </row>
    <row r="616" spans="2:5" x14ac:dyDescent="0.25">
      <c r="B616" s="44"/>
      <c r="C616" s="44"/>
      <c r="D616" s="44"/>
      <c r="E616" s="44"/>
    </row>
    <row r="617" spans="2:5" x14ac:dyDescent="0.25">
      <c r="B617" s="44"/>
      <c r="C617" s="44"/>
      <c r="D617" s="44"/>
      <c r="E617" s="44"/>
    </row>
    <row r="618" spans="2:5" x14ac:dyDescent="0.25">
      <c r="B618" s="44"/>
      <c r="C618" s="44"/>
      <c r="D618" s="44"/>
      <c r="E618" s="44"/>
    </row>
    <row r="619" spans="2:5" x14ac:dyDescent="0.25">
      <c r="B619" s="44"/>
      <c r="C619" s="44"/>
      <c r="D619" s="44"/>
      <c r="E619" s="44"/>
    </row>
    <row r="620" spans="2:5" x14ac:dyDescent="0.25">
      <c r="B620" s="44"/>
      <c r="C620" s="44"/>
      <c r="D620" s="44"/>
      <c r="E620" s="44"/>
    </row>
    <row r="621" spans="2:5" x14ac:dyDescent="0.25">
      <c r="B621" s="44"/>
      <c r="C621" s="44"/>
      <c r="D621" s="44"/>
      <c r="E621" s="44"/>
    </row>
    <row r="622" spans="2:5" x14ac:dyDescent="0.25">
      <c r="B622" s="44"/>
      <c r="C622" s="44"/>
      <c r="D622" s="44"/>
      <c r="E622" s="44"/>
    </row>
    <row r="623" spans="2:5" x14ac:dyDescent="0.25">
      <c r="B623" s="44"/>
      <c r="C623" s="44"/>
      <c r="D623" s="44"/>
      <c r="E623" s="44"/>
    </row>
    <row r="624" spans="2:5" x14ac:dyDescent="0.25">
      <c r="B624" s="44"/>
      <c r="C624" s="44"/>
      <c r="D624" s="44"/>
      <c r="E624" s="44"/>
    </row>
    <row r="625" spans="2:5" x14ac:dyDescent="0.25">
      <c r="B625" s="44"/>
      <c r="C625" s="44"/>
      <c r="D625" s="44"/>
      <c r="E625" s="44"/>
    </row>
    <row r="626" spans="2:5" x14ac:dyDescent="0.25">
      <c r="B626" s="44"/>
      <c r="C626" s="44"/>
      <c r="D626" s="44"/>
      <c r="E626" s="44"/>
    </row>
    <row r="627" spans="2:5" x14ac:dyDescent="0.25">
      <c r="B627" s="44"/>
      <c r="C627" s="44"/>
      <c r="D627" s="44"/>
      <c r="E627" s="44"/>
    </row>
    <row r="628" spans="2:5" x14ac:dyDescent="0.25">
      <c r="B628" s="44"/>
      <c r="C628" s="44"/>
      <c r="D628" s="44"/>
      <c r="E628" s="44"/>
    </row>
    <row r="629" spans="2:5" x14ac:dyDescent="0.25">
      <c r="B629" s="44"/>
      <c r="C629" s="44"/>
      <c r="D629" s="44"/>
      <c r="E629" s="44"/>
    </row>
    <row r="630" spans="2:5" x14ac:dyDescent="0.25">
      <c r="B630" s="44"/>
      <c r="C630" s="44"/>
      <c r="D630" s="44"/>
      <c r="E630" s="44"/>
    </row>
    <row r="631" spans="2:5" x14ac:dyDescent="0.25">
      <c r="B631" s="44"/>
      <c r="C631" s="44"/>
      <c r="D631" s="44"/>
      <c r="E631" s="44"/>
    </row>
    <row r="632" spans="2:5" x14ac:dyDescent="0.25">
      <c r="B632" s="44"/>
      <c r="C632" s="44"/>
      <c r="D632" s="44"/>
      <c r="E632" s="44"/>
    </row>
    <row r="633" spans="2:5" x14ac:dyDescent="0.25">
      <c r="B633" s="44"/>
      <c r="C633" s="44"/>
      <c r="D633" s="44"/>
      <c r="E633" s="44"/>
    </row>
    <row r="634" spans="2:5" x14ac:dyDescent="0.25">
      <c r="B634" s="44"/>
      <c r="C634" s="44"/>
      <c r="D634" s="44"/>
      <c r="E634" s="44"/>
    </row>
    <row r="635" spans="2:5" x14ac:dyDescent="0.25">
      <c r="B635" s="44"/>
      <c r="C635" s="44"/>
      <c r="D635" s="44"/>
      <c r="E635" s="44"/>
    </row>
    <row r="636" spans="2:5" x14ac:dyDescent="0.25">
      <c r="B636" s="44"/>
      <c r="C636" s="44"/>
      <c r="D636" s="44"/>
      <c r="E636" s="44"/>
    </row>
    <row r="637" spans="2:5" x14ac:dyDescent="0.25">
      <c r="B637" s="44"/>
      <c r="C637" s="44"/>
      <c r="D637" s="44"/>
      <c r="E637" s="44"/>
    </row>
    <row r="638" spans="2:5" x14ac:dyDescent="0.25">
      <c r="B638" s="44"/>
      <c r="C638" s="44"/>
      <c r="D638" s="44"/>
      <c r="E638" s="44"/>
    </row>
    <row r="639" spans="2:5" x14ac:dyDescent="0.25">
      <c r="B639" s="44"/>
      <c r="C639" s="44"/>
      <c r="D639" s="44"/>
      <c r="E639" s="44"/>
    </row>
    <row r="640" spans="2:5" x14ac:dyDescent="0.25">
      <c r="B640" s="44"/>
      <c r="C640" s="44"/>
      <c r="D640" s="44"/>
      <c r="E640" s="44"/>
    </row>
    <row r="641" spans="2:5" x14ac:dyDescent="0.25">
      <c r="B641" s="44"/>
      <c r="C641" s="44"/>
      <c r="D641" s="44"/>
      <c r="E641" s="44"/>
    </row>
    <row r="642" spans="2:5" x14ac:dyDescent="0.25">
      <c r="B642" s="44"/>
      <c r="C642" s="44"/>
      <c r="D642" s="44"/>
      <c r="E642" s="44"/>
    </row>
    <row r="643" spans="2:5" x14ac:dyDescent="0.25">
      <c r="B643" s="44"/>
      <c r="C643" s="44"/>
      <c r="D643" s="44"/>
      <c r="E643" s="44"/>
    </row>
    <row r="644" spans="2:5" x14ac:dyDescent="0.25">
      <c r="B644" s="44"/>
      <c r="C644" s="44"/>
      <c r="D644" s="44"/>
      <c r="E644" s="44"/>
    </row>
    <row r="645" spans="2:5" x14ac:dyDescent="0.25">
      <c r="B645" s="44"/>
      <c r="C645" s="44"/>
      <c r="D645" s="44"/>
      <c r="E645" s="44"/>
    </row>
    <row r="646" spans="2:5" x14ac:dyDescent="0.25">
      <c r="B646" s="44"/>
      <c r="C646" s="44"/>
      <c r="D646" s="44"/>
      <c r="E646" s="44"/>
    </row>
    <row r="647" spans="2:5" x14ac:dyDescent="0.25">
      <c r="B647" s="44"/>
      <c r="C647" s="44"/>
      <c r="D647" s="44"/>
      <c r="E647" s="44"/>
    </row>
    <row r="648" spans="2:5" x14ac:dyDescent="0.25">
      <c r="B648" s="44"/>
      <c r="C648" s="44"/>
      <c r="D648" s="44"/>
      <c r="E648" s="44"/>
    </row>
    <row r="649" spans="2:5" x14ac:dyDescent="0.25">
      <c r="B649" s="44"/>
      <c r="C649" s="44"/>
      <c r="D649" s="44"/>
      <c r="E649" s="44"/>
    </row>
    <row r="650" spans="2:5" x14ac:dyDescent="0.25">
      <c r="B650" s="44"/>
      <c r="C650" s="44"/>
      <c r="D650" s="44"/>
      <c r="E650" s="44"/>
    </row>
    <row r="651" spans="2:5" x14ac:dyDescent="0.25">
      <c r="B651" s="44"/>
      <c r="C651" s="44"/>
      <c r="D651" s="44"/>
      <c r="E651" s="44"/>
    </row>
    <row r="652" spans="2:5" x14ac:dyDescent="0.25">
      <c r="B652" s="44"/>
      <c r="C652" s="44"/>
      <c r="D652" s="44"/>
      <c r="E652" s="44"/>
    </row>
    <row r="653" spans="2:5" x14ac:dyDescent="0.25">
      <c r="B653" s="44"/>
      <c r="C653" s="44"/>
      <c r="D653" s="44"/>
      <c r="E653" s="44"/>
    </row>
    <row r="654" spans="2:5" x14ac:dyDescent="0.25">
      <c r="B654" s="44"/>
      <c r="C654" s="44"/>
      <c r="D654" s="44"/>
      <c r="E654" s="44"/>
    </row>
    <row r="655" spans="2:5" x14ac:dyDescent="0.25">
      <c r="B655" s="44"/>
      <c r="C655" s="44"/>
      <c r="D655" s="44"/>
      <c r="E655" s="44"/>
    </row>
    <row r="656" spans="2:5" x14ac:dyDescent="0.25">
      <c r="B656" s="44"/>
      <c r="C656" s="44"/>
      <c r="D656" s="44"/>
      <c r="E656" s="44"/>
    </row>
    <row r="657" spans="2:5" x14ac:dyDescent="0.25">
      <c r="B657" s="44"/>
      <c r="C657" s="44"/>
      <c r="D657" s="44"/>
      <c r="E657" s="44"/>
    </row>
    <row r="658" spans="2:5" x14ac:dyDescent="0.25">
      <c r="B658" s="44"/>
      <c r="C658" s="44"/>
      <c r="D658" s="44"/>
      <c r="E658" s="44"/>
    </row>
    <row r="659" spans="2:5" x14ac:dyDescent="0.25">
      <c r="B659" s="44"/>
      <c r="C659" s="44"/>
      <c r="D659" s="44"/>
      <c r="E659" s="44"/>
    </row>
    <row r="660" spans="2:5" x14ac:dyDescent="0.25">
      <c r="B660" s="44"/>
      <c r="C660" s="44"/>
      <c r="D660" s="44"/>
      <c r="E660" s="44"/>
    </row>
    <row r="661" spans="2:5" x14ac:dyDescent="0.25">
      <c r="B661" s="44"/>
      <c r="C661" s="44"/>
      <c r="D661" s="44"/>
      <c r="E661" s="44"/>
    </row>
    <row r="662" spans="2:5" x14ac:dyDescent="0.25">
      <c r="B662" s="44"/>
      <c r="C662" s="44"/>
      <c r="D662" s="44"/>
      <c r="E662" s="44"/>
    </row>
    <row r="663" spans="2:5" x14ac:dyDescent="0.25">
      <c r="B663" s="44"/>
      <c r="C663" s="44"/>
      <c r="D663" s="44"/>
      <c r="E663" s="44"/>
    </row>
    <row r="664" spans="2:5" x14ac:dyDescent="0.25">
      <c r="B664" s="44"/>
      <c r="C664" s="44"/>
      <c r="D664" s="44"/>
      <c r="E664" s="44"/>
    </row>
    <row r="665" spans="2:5" x14ac:dyDescent="0.25">
      <c r="B665" s="44"/>
      <c r="C665" s="44"/>
      <c r="D665" s="44"/>
      <c r="E665" s="44"/>
    </row>
    <row r="666" spans="2:5" x14ac:dyDescent="0.25">
      <c r="B666" s="44"/>
      <c r="C666" s="44"/>
      <c r="D666" s="44"/>
      <c r="E666" s="44"/>
    </row>
    <row r="667" spans="2:5" x14ac:dyDescent="0.25">
      <c r="B667" s="44"/>
      <c r="C667" s="44"/>
      <c r="D667" s="44"/>
      <c r="E667" s="44"/>
    </row>
    <row r="668" spans="2:5" x14ac:dyDescent="0.25">
      <c r="B668" s="44"/>
      <c r="C668" s="44"/>
      <c r="D668" s="44"/>
      <c r="E668" s="44"/>
    </row>
    <row r="669" spans="2:5" x14ac:dyDescent="0.25">
      <c r="B669" s="44"/>
      <c r="C669" s="44"/>
      <c r="D669" s="44"/>
      <c r="E669" s="44"/>
    </row>
    <row r="670" spans="2:5" x14ac:dyDescent="0.25">
      <c r="B670" s="44"/>
      <c r="C670" s="44"/>
      <c r="D670" s="44"/>
      <c r="E670" s="44"/>
    </row>
    <row r="671" spans="2:5" x14ac:dyDescent="0.25">
      <c r="B671" s="44"/>
      <c r="C671" s="44"/>
      <c r="D671" s="44"/>
      <c r="E671" s="44"/>
    </row>
    <row r="672" spans="2:5" x14ac:dyDescent="0.25">
      <c r="B672" s="44"/>
      <c r="C672" s="44"/>
      <c r="D672" s="44"/>
      <c r="E672" s="44"/>
    </row>
    <row r="673" spans="2:5" x14ac:dyDescent="0.25">
      <c r="B673" s="44"/>
      <c r="C673" s="44"/>
      <c r="D673" s="44"/>
      <c r="E673" s="44"/>
    </row>
    <row r="674" spans="2:5" x14ac:dyDescent="0.25">
      <c r="B674" s="44"/>
      <c r="C674" s="44"/>
      <c r="D674" s="44"/>
      <c r="E674" s="44"/>
    </row>
    <row r="675" spans="2:5" x14ac:dyDescent="0.25">
      <c r="B675" s="44"/>
      <c r="C675" s="44"/>
      <c r="D675" s="44"/>
      <c r="E675" s="44"/>
    </row>
    <row r="676" spans="2:5" x14ac:dyDescent="0.25">
      <c r="B676" s="44"/>
      <c r="C676" s="44"/>
      <c r="D676" s="44"/>
      <c r="E676" s="44"/>
    </row>
    <row r="677" spans="2:5" x14ac:dyDescent="0.25">
      <c r="B677" s="44"/>
      <c r="C677" s="44"/>
      <c r="D677" s="44"/>
      <c r="E677" s="44"/>
    </row>
    <row r="678" spans="2:5" x14ac:dyDescent="0.25">
      <c r="B678" s="44"/>
      <c r="C678" s="44"/>
      <c r="D678" s="44"/>
      <c r="E678" s="44"/>
    </row>
    <row r="679" spans="2:5" x14ac:dyDescent="0.25">
      <c r="B679" s="44"/>
      <c r="C679" s="44"/>
      <c r="D679" s="44"/>
      <c r="E679" s="44"/>
    </row>
    <row r="680" spans="2:5" x14ac:dyDescent="0.25">
      <c r="B680" s="44"/>
      <c r="C680" s="44"/>
      <c r="D680" s="44"/>
      <c r="E680" s="44"/>
    </row>
    <row r="681" spans="2:5" x14ac:dyDescent="0.25">
      <c r="B681" s="44"/>
      <c r="C681" s="44"/>
      <c r="D681" s="44"/>
      <c r="E681" s="44"/>
    </row>
    <row r="682" spans="2:5" x14ac:dyDescent="0.25">
      <c r="B682" s="44"/>
      <c r="C682" s="44"/>
      <c r="D682" s="44"/>
      <c r="E682" s="44"/>
    </row>
    <row r="683" spans="2:5" x14ac:dyDescent="0.25">
      <c r="B683" s="44"/>
      <c r="C683" s="44"/>
      <c r="D683" s="44"/>
      <c r="E683" s="44"/>
    </row>
    <row r="684" spans="2:5" x14ac:dyDescent="0.25">
      <c r="B684" s="44"/>
      <c r="C684" s="44"/>
      <c r="D684" s="44"/>
      <c r="E684" s="44"/>
    </row>
    <row r="685" spans="2:5" x14ac:dyDescent="0.25">
      <c r="B685" s="44"/>
      <c r="C685" s="44"/>
      <c r="D685" s="44"/>
      <c r="E685" s="44"/>
    </row>
    <row r="686" spans="2:5" x14ac:dyDescent="0.25">
      <c r="B686" s="44"/>
      <c r="C686" s="44"/>
      <c r="D686" s="44"/>
      <c r="E686" s="44"/>
    </row>
    <row r="687" spans="2:5" x14ac:dyDescent="0.25">
      <c r="B687" s="44"/>
      <c r="C687" s="44"/>
      <c r="D687" s="44"/>
      <c r="E687" s="44"/>
    </row>
    <row r="688" spans="2:5" x14ac:dyDescent="0.25">
      <c r="B688" s="44"/>
      <c r="C688" s="44"/>
      <c r="D688" s="44"/>
      <c r="E688" s="44"/>
    </row>
    <row r="689" spans="2:5" x14ac:dyDescent="0.25">
      <c r="B689" s="44"/>
      <c r="C689" s="44"/>
      <c r="D689" s="44"/>
      <c r="E689" s="44"/>
    </row>
    <row r="690" spans="2:5" x14ac:dyDescent="0.25">
      <c r="B690" s="44"/>
      <c r="C690" s="44"/>
      <c r="D690" s="44"/>
      <c r="E690" s="44"/>
    </row>
    <row r="691" spans="2:5" x14ac:dyDescent="0.25">
      <c r="B691" s="44"/>
      <c r="C691" s="44"/>
      <c r="D691" s="44"/>
      <c r="E691" s="44"/>
    </row>
    <row r="692" spans="2:5" x14ac:dyDescent="0.25">
      <c r="B692" s="44"/>
      <c r="C692" s="44"/>
      <c r="D692" s="44"/>
      <c r="E692" s="44"/>
    </row>
    <row r="693" spans="2:5" x14ac:dyDescent="0.25">
      <c r="B693" s="44"/>
      <c r="C693" s="44"/>
      <c r="D693" s="44"/>
      <c r="E693" s="44"/>
    </row>
    <row r="694" spans="2:5" x14ac:dyDescent="0.25">
      <c r="B694" s="44"/>
      <c r="C694" s="44"/>
      <c r="D694" s="44"/>
      <c r="E694" s="44"/>
    </row>
    <row r="695" spans="2:5" x14ac:dyDescent="0.25">
      <c r="B695" s="44"/>
      <c r="C695" s="44"/>
      <c r="D695" s="44"/>
      <c r="E695" s="44"/>
    </row>
    <row r="696" spans="2:5" x14ac:dyDescent="0.25">
      <c r="B696" s="44"/>
      <c r="C696" s="44"/>
      <c r="D696" s="44"/>
      <c r="E696" s="44"/>
    </row>
    <row r="697" spans="2:5" x14ac:dyDescent="0.25">
      <c r="B697" s="44"/>
      <c r="C697" s="44"/>
      <c r="D697" s="44"/>
      <c r="E697" s="44"/>
    </row>
    <row r="698" spans="2:5" x14ac:dyDescent="0.25">
      <c r="B698" s="44"/>
      <c r="C698" s="44"/>
      <c r="D698" s="44"/>
      <c r="E698" s="44"/>
    </row>
    <row r="699" spans="2:5" x14ac:dyDescent="0.25">
      <c r="B699" s="44"/>
      <c r="C699" s="44"/>
      <c r="D699" s="44"/>
      <c r="E699" s="44"/>
    </row>
    <row r="700" spans="2:5" x14ac:dyDescent="0.25">
      <c r="B700" s="44"/>
      <c r="C700" s="44"/>
      <c r="D700" s="44"/>
      <c r="E700" s="44"/>
    </row>
    <row r="701" spans="2:5" x14ac:dyDescent="0.25">
      <c r="B701" s="44"/>
      <c r="C701" s="44"/>
      <c r="D701" s="44"/>
      <c r="E701" s="44"/>
    </row>
    <row r="702" spans="2:5" x14ac:dyDescent="0.25">
      <c r="B702" s="44"/>
      <c r="C702" s="44"/>
      <c r="D702" s="44"/>
      <c r="E702" s="44"/>
    </row>
    <row r="703" spans="2:5" x14ac:dyDescent="0.25">
      <c r="B703" s="44"/>
      <c r="C703" s="44"/>
      <c r="D703" s="44"/>
      <c r="E703" s="44"/>
    </row>
    <row r="704" spans="2:5" x14ac:dyDescent="0.25">
      <c r="B704" s="44"/>
      <c r="C704" s="44"/>
      <c r="D704" s="44"/>
      <c r="E704" s="44"/>
    </row>
    <row r="705" spans="2:5" x14ac:dyDescent="0.25">
      <c r="B705" s="44"/>
      <c r="C705" s="44"/>
      <c r="D705" s="44"/>
      <c r="E705" s="44"/>
    </row>
    <row r="706" spans="2:5" x14ac:dyDescent="0.25">
      <c r="B706" s="44"/>
      <c r="C706" s="44"/>
      <c r="D706" s="44"/>
      <c r="E706" s="44"/>
    </row>
    <row r="707" spans="2:5" x14ac:dyDescent="0.25">
      <c r="B707" s="44"/>
      <c r="C707" s="44"/>
      <c r="D707" s="44"/>
      <c r="E707" s="44"/>
    </row>
    <row r="708" spans="2:5" x14ac:dyDescent="0.25">
      <c r="B708" s="44"/>
      <c r="C708" s="44"/>
      <c r="D708" s="44"/>
      <c r="E708" s="44"/>
    </row>
    <row r="709" spans="2:5" x14ac:dyDescent="0.25">
      <c r="B709" s="44"/>
      <c r="C709" s="44"/>
      <c r="D709" s="44"/>
      <c r="E709" s="44"/>
    </row>
    <row r="710" spans="2:5" x14ac:dyDescent="0.25">
      <c r="B710" s="44"/>
      <c r="C710" s="44"/>
      <c r="D710" s="44"/>
      <c r="E710" s="44"/>
    </row>
    <row r="711" spans="2:5" x14ac:dyDescent="0.25">
      <c r="B711" s="44"/>
      <c r="C711" s="44"/>
      <c r="D711" s="44"/>
      <c r="E711" s="44"/>
    </row>
    <row r="712" spans="2:5" x14ac:dyDescent="0.25">
      <c r="B712" s="44"/>
      <c r="C712" s="44"/>
      <c r="D712" s="44"/>
      <c r="E712" s="44"/>
    </row>
    <row r="713" spans="2:5" x14ac:dyDescent="0.25">
      <c r="B713" s="44"/>
      <c r="C713" s="44"/>
      <c r="D713" s="44"/>
      <c r="E713" s="44"/>
    </row>
    <row r="714" spans="2:5" x14ac:dyDescent="0.25">
      <c r="B714" s="44"/>
      <c r="C714" s="44"/>
      <c r="D714" s="44"/>
      <c r="E714" s="44"/>
    </row>
    <row r="715" spans="2:5" x14ac:dyDescent="0.25">
      <c r="B715" s="44"/>
      <c r="C715" s="44"/>
      <c r="D715" s="44"/>
      <c r="E715" s="44"/>
    </row>
    <row r="716" spans="2:5" x14ac:dyDescent="0.25">
      <c r="B716" s="44"/>
      <c r="C716" s="44"/>
      <c r="D716" s="44"/>
      <c r="E716" s="44"/>
    </row>
    <row r="717" spans="2:5" x14ac:dyDescent="0.25">
      <c r="B717" s="44"/>
      <c r="C717" s="44"/>
      <c r="D717" s="44"/>
      <c r="E717" s="44"/>
    </row>
    <row r="718" spans="2:5" x14ac:dyDescent="0.25">
      <c r="B718" s="44"/>
      <c r="C718" s="44"/>
      <c r="D718" s="44"/>
      <c r="E718" s="44"/>
    </row>
    <row r="719" spans="2:5" x14ac:dyDescent="0.25">
      <c r="B719" s="44"/>
      <c r="C719" s="44"/>
      <c r="D719" s="44"/>
      <c r="E719" s="44"/>
    </row>
    <row r="720" spans="2:5" x14ac:dyDescent="0.25">
      <c r="B720" s="44"/>
      <c r="C720" s="44"/>
      <c r="D720" s="44"/>
      <c r="E720" s="44"/>
    </row>
    <row r="721" spans="2:5" x14ac:dyDescent="0.25">
      <c r="B721" s="44"/>
      <c r="C721" s="44"/>
      <c r="D721" s="44"/>
      <c r="E721" s="44"/>
    </row>
    <row r="722" spans="2:5" x14ac:dyDescent="0.25">
      <c r="B722" s="44"/>
      <c r="C722" s="44"/>
      <c r="D722" s="44"/>
      <c r="E722" s="44"/>
    </row>
    <row r="723" spans="2:5" x14ac:dyDescent="0.25">
      <c r="B723" s="44"/>
      <c r="C723" s="44"/>
      <c r="D723" s="44"/>
      <c r="E723" s="44"/>
    </row>
    <row r="724" spans="2:5" x14ac:dyDescent="0.25">
      <c r="B724" s="44"/>
      <c r="C724" s="44"/>
      <c r="D724" s="44"/>
      <c r="E724" s="44"/>
    </row>
    <row r="725" spans="2:5" x14ac:dyDescent="0.25">
      <c r="B725" s="44"/>
      <c r="C725" s="44"/>
      <c r="D725" s="44"/>
      <c r="E725" s="44"/>
    </row>
    <row r="726" spans="2:5" x14ac:dyDescent="0.25">
      <c r="B726" s="44"/>
      <c r="C726" s="44"/>
      <c r="D726" s="44"/>
      <c r="E726" s="44"/>
    </row>
    <row r="727" spans="2:5" x14ac:dyDescent="0.25">
      <c r="B727" s="44"/>
      <c r="C727" s="44"/>
      <c r="D727" s="44"/>
      <c r="E727" s="44"/>
    </row>
    <row r="728" spans="2:5" x14ac:dyDescent="0.25">
      <c r="B728" s="44"/>
      <c r="C728" s="44"/>
      <c r="D728" s="44"/>
      <c r="E728" s="44"/>
    </row>
    <row r="729" spans="2:5" x14ac:dyDescent="0.25">
      <c r="B729" s="44"/>
      <c r="C729" s="44"/>
      <c r="D729" s="44"/>
      <c r="E729" s="44"/>
    </row>
    <row r="730" spans="2:5" x14ac:dyDescent="0.25">
      <c r="B730" s="44"/>
      <c r="C730" s="44"/>
      <c r="D730" s="44"/>
      <c r="E730" s="44"/>
    </row>
    <row r="731" spans="2:5" x14ac:dyDescent="0.25">
      <c r="B731" s="44"/>
      <c r="C731" s="44"/>
      <c r="D731" s="44"/>
      <c r="E731" s="44"/>
    </row>
    <row r="732" spans="2:5" x14ac:dyDescent="0.25">
      <c r="B732" s="44"/>
      <c r="C732" s="44"/>
      <c r="D732" s="44"/>
      <c r="E732" s="44"/>
    </row>
    <row r="733" spans="2:5" x14ac:dyDescent="0.25">
      <c r="B733" s="44"/>
      <c r="C733" s="44"/>
      <c r="D733" s="44"/>
      <c r="E733" s="44"/>
    </row>
    <row r="734" spans="2:5" x14ac:dyDescent="0.25">
      <c r="B734" s="44"/>
      <c r="C734" s="44"/>
      <c r="D734" s="44"/>
      <c r="E734" s="44"/>
    </row>
    <row r="735" spans="2:5" x14ac:dyDescent="0.25">
      <c r="B735" s="44"/>
      <c r="C735" s="44"/>
      <c r="D735" s="44"/>
      <c r="E735" s="44"/>
    </row>
    <row r="736" spans="2:5" x14ac:dyDescent="0.25">
      <c r="B736" s="44"/>
      <c r="C736" s="44"/>
      <c r="D736" s="44"/>
      <c r="E736" s="44"/>
    </row>
    <row r="737" spans="2:5" x14ac:dyDescent="0.25">
      <c r="B737" s="44"/>
      <c r="C737" s="44"/>
      <c r="D737" s="44"/>
      <c r="E737" s="44"/>
    </row>
    <row r="738" spans="2:5" x14ac:dyDescent="0.25">
      <c r="B738" s="44"/>
      <c r="C738" s="44"/>
      <c r="D738" s="44"/>
      <c r="E738" s="44"/>
    </row>
    <row r="739" spans="2:5" x14ac:dyDescent="0.25">
      <c r="B739" s="44"/>
      <c r="C739" s="44"/>
      <c r="D739" s="44"/>
      <c r="E739" s="44"/>
    </row>
    <row r="740" spans="2:5" x14ac:dyDescent="0.25">
      <c r="B740" s="44"/>
      <c r="C740" s="44"/>
      <c r="D740" s="44"/>
      <c r="E740" s="44"/>
    </row>
    <row r="741" spans="2:5" x14ac:dyDescent="0.25">
      <c r="B741" s="44"/>
      <c r="C741" s="44"/>
      <c r="D741" s="44"/>
      <c r="E741" s="44"/>
    </row>
    <row r="742" spans="2:5" x14ac:dyDescent="0.25">
      <c r="B742" s="44"/>
      <c r="C742" s="44"/>
      <c r="D742" s="44"/>
      <c r="E742" s="44"/>
    </row>
    <row r="743" spans="2:5" x14ac:dyDescent="0.25">
      <c r="B743" s="44"/>
      <c r="C743" s="44"/>
      <c r="D743" s="44"/>
      <c r="E743" s="44"/>
    </row>
    <row r="744" spans="2:5" x14ac:dyDescent="0.25">
      <c r="B744" s="44"/>
      <c r="C744" s="44"/>
      <c r="D744" s="44"/>
      <c r="E744" s="44"/>
    </row>
    <row r="745" spans="2:5" x14ac:dyDescent="0.25">
      <c r="B745" s="44"/>
      <c r="C745" s="44"/>
      <c r="D745" s="44"/>
      <c r="E745" s="44"/>
    </row>
    <row r="746" spans="2:5" x14ac:dyDescent="0.25">
      <c r="B746" s="44"/>
      <c r="C746" s="44"/>
      <c r="D746" s="44"/>
      <c r="E746" s="44"/>
    </row>
    <row r="747" spans="2:5" x14ac:dyDescent="0.25">
      <c r="B747" s="44"/>
      <c r="C747" s="44"/>
      <c r="D747" s="44"/>
      <c r="E747" s="44"/>
    </row>
    <row r="748" spans="2:5" x14ac:dyDescent="0.25">
      <c r="B748" s="44"/>
      <c r="C748" s="44"/>
      <c r="D748" s="44"/>
      <c r="E748" s="44"/>
    </row>
    <row r="749" spans="2:5" x14ac:dyDescent="0.25">
      <c r="B749" s="44"/>
      <c r="C749" s="44"/>
      <c r="D749" s="44"/>
      <c r="E749" s="44"/>
    </row>
    <row r="750" spans="2:5" x14ac:dyDescent="0.25">
      <c r="B750" s="44"/>
      <c r="C750" s="44"/>
      <c r="D750" s="44"/>
      <c r="E750" s="44"/>
    </row>
    <row r="751" spans="2:5" x14ac:dyDescent="0.25">
      <c r="B751" s="44"/>
      <c r="C751" s="44"/>
      <c r="D751" s="44"/>
      <c r="E751" s="44"/>
    </row>
    <row r="752" spans="2:5" x14ac:dyDescent="0.25">
      <c r="B752" s="44"/>
      <c r="C752" s="44"/>
      <c r="D752" s="44"/>
      <c r="E752" s="44"/>
    </row>
    <row r="753" spans="2:5" x14ac:dyDescent="0.25">
      <c r="B753" s="44"/>
      <c r="C753" s="44"/>
      <c r="D753" s="44"/>
      <c r="E753" s="44"/>
    </row>
    <row r="754" spans="2:5" x14ac:dyDescent="0.25">
      <c r="B754" s="44"/>
      <c r="C754" s="44"/>
      <c r="D754" s="44"/>
      <c r="E754" s="44"/>
    </row>
    <row r="755" spans="2:5" x14ac:dyDescent="0.25">
      <c r="B755" s="44"/>
      <c r="C755" s="44"/>
      <c r="D755" s="44"/>
      <c r="E755" s="44"/>
    </row>
    <row r="756" spans="2:5" x14ac:dyDescent="0.25">
      <c r="B756" s="44"/>
      <c r="C756" s="44"/>
      <c r="D756" s="44"/>
      <c r="E756" s="44"/>
    </row>
    <row r="757" spans="2:5" x14ac:dyDescent="0.25">
      <c r="B757" s="44"/>
      <c r="C757" s="44"/>
      <c r="D757" s="44"/>
      <c r="E757" s="44"/>
    </row>
    <row r="758" spans="2:5" x14ac:dyDescent="0.25">
      <c r="B758" s="44"/>
      <c r="C758" s="44"/>
      <c r="D758" s="44"/>
      <c r="E758" s="44"/>
    </row>
    <row r="759" spans="2:5" x14ac:dyDescent="0.25">
      <c r="B759" s="44"/>
      <c r="C759" s="44"/>
      <c r="D759" s="44"/>
      <c r="E759" s="44"/>
    </row>
    <row r="760" spans="2:5" x14ac:dyDescent="0.25">
      <c r="B760" s="44"/>
      <c r="C760" s="44"/>
      <c r="D760" s="44"/>
      <c r="E760" s="44"/>
    </row>
    <row r="761" spans="2:5" x14ac:dyDescent="0.25">
      <c r="B761" s="44"/>
      <c r="C761" s="44"/>
      <c r="D761" s="44"/>
      <c r="E761" s="44"/>
    </row>
    <row r="762" spans="2:5" x14ac:dyDescent="0.25">
      <c r="B762" s="44"/>
      <c r="C762" s="44"/>
      <c r="D762" s="44"/>
      <c r="E762" s="44"/>
    </row>
    <row r="763" spans="2:5" x14ac:dyDescent="0.25">
      <c r="B763" s="44"/>
      <c r="C763" s="44"/>
      <c r="D763" s="44"/>
      <c r="E763" s="44"/>
    </row>
    <row r="764" spans="2:5" x14ac:dyDescent="0.25">
      <c r="B764" s="44"/>
      <c r="C764" s="44"/>
      <c r="D764" s="44"/>
      <c r="E764" s="44"/>
    </row>
    <row r="765" spans="2:5" x14ac:dyDescent="0.25">
      <c r="B765" s="44"/>
      <c r="C765" s="44"/>
      <c r="D765" s="44"/>
      <c r="E765" s="44"/>
    </row>
    <row r="766" spans="2:5" x14ac:dyDescent="0.25">
      <c r="B766" s="44"/>
      <c r="C766" s="44"/>
      <c r="D766" s="44"/>
      <c r="E766" s="44"/>
    </row>
    <row r="767" spans="2:5" x14ac:dyDescent="0.25">
      <c r="B767" s="44"/>
      <c r="C767" s="44"/>
      <c r="D767" s="44"/>
      <c r="E767" s="44"/>
    </row>
    <row r="768" spans="2:5" x14ac:dyDescent="0.25">
      <c r="B768" s="44"/>
      <c r="C768" s="44"/>
      <c r="D768" s="44"/>
      <c r="E768" s="44"/>
    </row>
    <row r="769" spans="2:5" x14ac:dyDescent="0.25">
      <c r="B769" s="44"/>
      <c r="C769" s="44"/>
      <c r="D769" s="44"/>
      <c r="E769" s="44"/>
    </row>
    <row r="770" spans="2:5" x14ac:dyDescent="0.25">
      <c r="B770" s="44"/>
      <c r="C770" s="44"/>
      <c r="D770" s="44"/>
      <c r="E770" s="44"/>
    </row>
    <row r="771" spans="2:5" x14ac:dyDescent="0.25">
      <c r="B771" s="44"/>
      <c r="C771" s="44"/>
      <c r="D771" s="44"/>
      <c r="E771" s="44"/>
    </row>
    <row r="772" spans="2:5" x14ac:dyDescent="0.25">
      <c r="B772" s="44"/>
      <c r="C772" s="44"/>
      <c r="D772" s="44"/>
      <c r="E772" s="44"/>
    </row>
    <row r="773" spans="2:5" x14ac:dyDescent="0.25">
      <c r="B773" s="44"/>
      <c r="C773" s="44"/>
      <c r="D773" s="44"/>
      <c r="E773" s="44"/>
    </row>
    <row r="774" spans="2:5" x14ac:dyDescent="0.25">
      <c r="B774" s="44"/>
      <c r="C774" s="44"/>
      <c r="D774" s="44"/>
      <c r="E774" s="44"/>
    </row>
    <row r="775" spans="2:5" x14ac:dyDescent="0.25">
      <c r="B775" s="44"/>
      <c r="C775" s="44"/>
      <c r="D775" s="44"/>
      <c r="E775" s="44"/>
    </row>
    <row r="776" spans="2:5" x14ac:dyDescent="0.25">
      <c r="B776" s="44"/>
      <c r="C776" s="44"/>
      <c r="D776" s="44"/>
      <c r="E776" s="44"/>
    </row>
    <row r="777" spans="2:5" x14ac:dyDescent="0.25">
      <c r="B777" s="44"/>
      <c r="C777" s="44"/>
      <c r="D777" s="44"/>
      <c r="E777" s="44"/>
    </row>
    <row r="778" spans="2:5" x14ac:dyDescent="0.25">
      <c r="B778" s="44"/>
      <c r="C778" s="44"/>
      <c r="D778" s="44"/>
      <c r="E778" s="44"/>
    </row>
    <row r="779" spans="2:5" x14ac:dyDescent="0.25">
      <c r="B779" s="44"/>
      <c r="C779" s="44"/>
      <c r="D779" s="44"/>
      <c r="E779" s="44"/>
    </row>
    <row r="780" spans="2:5" x14ac:dyDescent="0.25">
      <c r="B780" s="44"/>
      <c r="C780" s="44"/>
      <c r="D780" s="44"/>
      <c r="E780" s="44"/>
    </row>
    <row r="781" spans="2:5" x14ac:dyDescent="0.25">
      <c r="B781" s="44"/>
      <c r="C781" s="44"/>
      <c r="D781" s="44"/>
      <c r="E781" s="44"/>
    </row>
    <row r="782" spans="2:5" x14ac:dyDescent="0.25">
      <c r="B782" s="44"/>
      <c r="C782" s="44"/>
      <c r="D782" s="44"/>
      <c r="E782" s="44"/>
    </row>
    <row r="783" spans="2:5" x14ac:dyDescent="0.25">
      <c r="B783" s="44"/>
      <c r="C783" s="44"/>
      <c r="D783" s="44"/>
      <c r="E783" s="44"/>
    </row>
    <row r="784" spans="2:5" x14ac:dyDescent="0.25">
      <c r="B784" s="44"/>
      <c r="C784" s="44"/>
      <c r="D784" s="44"/>
      <c r="E784" s="44"/>
    </row>
    <row r="785" spans="2:5" x14ac:dyDescent="0.25">
      <c r="B785" s="44"/>
      <c r="C785" s="44"/>
      <c r="D785" s="44"/>
      <c r="E785" s="44"/>
    </row>
    <row r="786" spans="2:5" x14ac:dyDescent="0.25">
      <c r="B786" s="44"/>
      <c r="C786" s="44"/>
      <c r="D786" s="44"/>
      <c r="E786" s="44"/>
    </row>
    <row r="787" spans="2:5" x14ac:dyDescent="0.25">
      <c r="B787" s="44"/>
      <c r="C787" s="44"/>
      <c r="D787" s="44"/>
      <c r="E787" s="44"/>
    </row>
    <row r="788" spans="2:5" x14ac:dyDescent="0.25">
      <c r="B788" s="44"/>
      <c r="C788" s="44"/>
      <c r="D788" s="44"/>
      <c r="E788" s="44"/>
    </row>
    <row r="789" spans="2:5" x14ac:dyDescent="0.25">
      <c r="B789" s="44"/>
      <c r="C789" s="44"/>
      <c r="D789" s="44"/>
      <c r="E789" s="44"/>
    </row>
    <row r="790" spans="2:5" x14ac:dyDescent="0.25">
      <c r="B790" s="44"/>
      <c r="C790" s="44"/>
      <c r="D790" s="44"/>
      <c r="E790" s="44"/>
    </row>
    <row r="791" spans="2:5" x14ac:dyDescent="0.25">
      <c r="B791" s="44"/>
      <c r="C791" s="44"/>
      <c r="D791" s="44"/>
      <c r="E791" s="44"/>
    </row>
    <row r="792" spans="2:5" x14ac:dyDescent="0.25">
      <c r="B792" s="44"/>
      <c r="C792" s="44"/>
      <c r="D792" s="44"/>
      <c r="E792" s="44"/>
    </row>
    <row r="793" spans="2:5" x14ac:dyDescent="0.25">
      <c r="B793" s="44"/>
      <c r="C793" s="44"/>
      <c r="D793" s="44"/>
      <c r="E793" s="44"/>
    </row>
    <row r="794" spans="2:5" x14ac:dyDescent="0.25">
      <c r="B794" s="44"/>
      <c r="C794" s="44"/>
      <c r="D794" s="44"/>
      <c r="E794" s="44"/>
    </row>
    <row r="795" spans="2:5" x14ac:dyDescent="0.25">
      <c r="B795" s="44"/>
      <c r="C795" s="44"/>
      <c r="D795" s="44"/>
      <c r="E795" s="44"/>
    </row>
    <row r="796" spans="2:5" x14ac:dyDescent="0.25">
      <c r="B796" s="44"/>
      <c r="C796" s="44"/>
      <c r="D796" s="44"/>
      <c r="E796" s="44"/>
    </row>
    <row r="797" spans="2:5" x14ac:dyDescent="0.25">
      <c r="B797" s="44"/>
      <c r="C797" s="44"/>
      <c r="D797" s="44"/>
      <c r="E797" s="44"/>
    </row>
    <row r="798" spans="2:5" x14ac:dyDescent="0.25">
      <c r="B798" s="44"/>
      <c r="C798" s="44"/>
      <c r="D798" s="44"/>
      <c r="E798" s="44"/>
    </row>
    <row r="799" spans="2:5" x14ac:dyDescent="0.25">
      <c r="B799" s="44"/>
      <c r="C799" s="44"/>
      <c r="D799" s="44"/>
      <c r="E799" s="44"/>
    </row>
    <row r="800" spans="2:5" x14ac:dyDescent="0.25">
      <c r="B800" s="44"/>
      <c r="C800" s="44"/>
      <c r="D800" s="44"/>
      <c r="E800" s="44"/>
    </row>
    <row r="801" spans="2:5" x14ac:dyDescent="0.25">
      <c r="B801" s="44"/>
      <c r="C801" s="44"/>
      <c r="D801" s="44"/>
      <c r="E801" s="44"/>
    </row>
    <row r="802" spans="2:5" x14ac:dyDescent="0.25">
      <c r="B802" s="44"/>
      <c r="C802" s="44"/>
      <c r="D802" s="44"/>
      <c r="E802" s="44"/>
    </row>
    <row r="803" spans="2:5" x14ac:dyDescent="0.25">
      <c r="B803" s="44"/>
      <c r="C803" s="44"/>
      <c r="D803" s="44"/>
      <c r="E803" s="44"/>
    </row>
    <row r="804" spans="2:5" x14ac:dyDescent="0.25">
      <c r="B804" s="44"/>
      <c r="C804" s="44"/>
      <c r="D804" s="44"/>
      <c r="E804" s="44"/>
    </row>
    <row r="805" spans="2:5" x14ac:dyDescent="0.25">
      <c r="B805" s="44"/>
      <c r="C805" s="44"/>
      <c r="D805" s="44"/>
      <c r="E805" s="44"/>
    </row>
    <row r="806" spans="2:5" x14ac:dyDescent="0.25">
      <c r="B806" s="44"/>
      <c r="C806" s="44"/>
      <c r="D806" s="44"/>
      <c r="E806" s="44"/>
    </row>
    <row r="807" spans="2:5" x14ac:dyDescent="0.25">
      <c r="B807" s="44"/>
      <c r="C807" s="44"/>
      <c r="D807" s="44"/>
      <c r="E807" s="44"/>
    </row>
    <row r="808" spans="2:5" x14ac:dyDescent="0.25">
      <c r="B808" s="44"/>
      <c r="C808" s="44"/>
      <c r="D808" s="44"/>
      <c r="E808" s="44"/>
    </row>
    <row r="809" spans="2:5" x14ac:dyDescent="0.25">
      <c r="B809" s="44"/>
      <c r="C809" s="44"/>
      <c r="D809" s="44"/>
      <c r="E809" s="44"/>
    </row>
    <row r="810" spans="2:5" x14ac:dyDescent="0.25">
      <c r="B810" s="44"/>
      <c r="C810" s="44"/>
      <c r="D810" s="44"/>
      <c r="E810" s="44"/>
    </row>
    <row r="811" spans="2:5" x14ac:dyDescent="0.25">
      <c r="B811" s="44"/>
      <c r="C811" s="44"/>
      <c r="D811" s="44"/>
      <c r="E811" s="44"/>
    </row>
    <row r="812" spans="2:5" x14ac:dyDescent="0.25">
      <c r="B812" s="44"/>
      <c r="C812" s="44"/>
      <c r="D812" s="44"/>
      <c r="E812" s="44"/>
    </row>
    <row r="813" spans="2:5" x14ac:dyDescent="0.25">
      <c r="B813" s="44"/>
      <c r="C813" s="44"/>
      <c r="D813" s="44"/>
      <c r="E813" s="44"/>
    </row>
    <row r="814" spans="2:5" x14ac:dyDescent="0.25">
      <c r="B814" s="44"/>
      <c r="C814" s="44"/>
      <c r="D814" s="44"/>
      <c r="E814" s="44"/>
    </row>
    <row r="815" spans="2:5" x14ac:dyDescent="0.25">
      <c r="B815" s="44"/>
      <c r="C815" s="44"/>
      <c r="D815" s="44"/>
      <c r="E815" s="44"/>
    </row>
    <row r="816" spans="2:5" x14ac:dyDescent="0.25">
      <c r="B816" s="44"/>
      <c r="C816" s="44"/>
      <c r="D816" s="44"/>
      <c r="E816" s="44"/>
    </row>
    <row r="817" spans="2:5" x14ac:dyDescent="0.25">
      <c r="B817" s="44"/>
      <c r="C817" s="44"/>
      <c r="D817" s="44"/>
      <c r="E817" s="44"/>
    </row>
    <row r="818" spans="2:5" x14ac:dyDescent="0.25">
      <c r="B818" s="44"/>
      <c r="C818" s="44"/>
      <c r="D818" s="44"/>
      <c r="E818" s="44"/>
    </row>
    <row r="819" spans="2:5" x14ac:dyDescent="0.25">
      <c r="B819" s="44"/>
      <c r="C819" s="44"/>
      <c r="D819" s="44"/>
      <c r="E819" s="44"/>
    </row>
    <row r="820" spans="2:5" x14ac:dyDescent="0.25">
      <c r="B820" s="44"/>
      <c r="C820" s="44"/>
      <c r="D820" s="44"/>
      <c r="E820" s="44"/>
    </row>
    <row r="821" spans="2:5" x14ac:dyDescent="0.25">
      <c r="B821" s="44"/>
      <c r="C821" s="44"/>
      <c r="D821" s="44"/>
      <c r="E821" s="44"/>
    </row>
    <row r="822" spans="2:5" x14ac:dyDescent="0.25">
      <c r="B822" s="44"/>
      <c r="C822" s="44"/>
      <c r="D822" s="44"/>
      <c r="E822" s="44"/>
    </row>
    <row r="823" spans="2:5" x14ac:dyDescent="0.25">
      <c r="B823" s="44"/>
      <c r="C823" s="44"/>
      <c r="D823" s="44"/>
      <c r="E823" s="44"/>
    </row>
    <row r="824" spans="2:5" x14ac:dyDescent="0.25">
      <c r="B824" s="44"/>
      <c r="C824" s="44"/>
      <c r="D824" s="44"/>
      <c r="E824" s="44"/>
    </row>
    <row r="825" spans="2:5" x14ac:dyDescent="0.25">
      <c r="B825" s="44"/>
      <c r="C825" s="44"/>
      <c r="D825" s="44"/>
      <c r="E825" s="44"/>
    </row>
    <row r="826" spans="2:5" x14ac:dyDescent="0.25">
      <c r="B826" s="44"/>
      <c r="C826" s="44"/>
      <c r="D826" s="44"/>
      <c r="E826" s="44"/>
    </row>
    <row r="827" spans="2:5" x14ac:dyDescent="0.25">
      <c r="B827" s="44"/>
      <c r="C827" s="44"/>
      <c r="D827" s="44"/>
      <c r="E827" s="44"/>
    </row>
    <row r="828" spans="2:5" x14ac:dyDescent="0.25">
      <c r="B828" s="44"/>
      <c r="C828" s="44"/>
      <c r="D828" s="44"/>
      <c r="E828" s="44"/>
    </row>
    <row r="829" spans="2:5" x14ac:dyDescent="0.25">
      <c r="B829" s="44"/>
      <c r="C829" s="44"/>
      <c r="D829" s="44"/>
      <c r="E829" s="44"/>
    </row>
    <row r="830" spans="2:5" x14ac:dyDescent="0.25">
      <c r="B830" s="44"/>
      <c r="C830" s="44"/>
      <c r="D830" s="44"/>
      <c r="E830" s="44"/>
    </row>
    <row r="831" spans="2:5" x14ac:dyDescent="0.25">
      <c r="B831" s="44"/>
      <c r="C831" s="44"/>
      <c r="D831" s="44"/>
      <c r="E831" s="44"/>
    </row>
    <row r="832" spans="2:5" x14ac:dyDescent="0.25">
      <c r="B832" s="44"/>
      <c r="C832" s="44"/>
      <c r="D832" s="44"/>
      <c r="E832" s="44"/>
    </row>
    <row r="833" spans="2:5" x14ac:dyDescent="0.25">
      <c r="B833" s="44"/>
      <c r="C833" s="44"/>
      <c r="D833" s="44"/>
      <c r="E833" s="44"/>
    </row>
    <row r="834" spans="2:5" x14ac:dyDescent="0.25">
      <c r="B834" s="44"/>
      <c r="C834" s="44"/>
      <c r="D834" s="44"/>
      <c r="E834" s="44"/>
    </row>
    <row r="835" spans="2:5" x14ac:dyDescent="0.25">
      <c r="B835" s="44"/>
      <c r="C835" s="44"/>
      <c r="D835" s="44"/>
      <c r="E835" s="44"/>
    </row>
    <row r="836" spans="2:5" x14ac:dyDescent="0.25">
      <c r="B836" s="44"/>
      <c r="C836" s="44"/>
      <c r="D836" s="44"/>
      <c r="E836" s="44"/>
    </row>
    <row r="837" spans="2:5" x14ac:dyDescent="0.25">
      <c r="B837" s="44"/>
      <c r="C837" s="44"/>
      <c r="D837" s="44"/>
      <c r="E837" s="44"/>
    </row>
    <row r="838" spans="2:5" x14ac:dyDescent="0.25">
      <c r="B838" s="44"/>
      <c r="C838" s="44"/>
      <c r="D838" s="44"/>
      <c r="E838" s="44"/>
    </row>
    <row r="839" spans="2:5" x14ac:dyDescent="0.25">
      <c r="B839" s="44"/>
      <c r="C839" s="44"/>
      <c r="D839" s="44"/>
      <c r="E839" s="44"/>
    </row>
    <row r="840" spans="2:5" x14ac:dyDescent="0.25">
      <c r="B840" s="44"/>
      <c r="C840" s="44"/>
      <c r="D840" s="44"/>
      <c r="E840" s="44"/>
    </row>
    <row r="841" spans="2:5" x14ac:dyDescent="0.25">
      <c r="B841" s="44"/>
      <c r="C841" s="44"/>
      <c r="D841" s="44"/>
      <c r="E841" s="44"/>
    </row>
    <row r="842" spans="2:5" x14ac:dyDescent="0.25">
      <c r="B842" s="44"/>
      <c r="C842" s="44"/>
      <c r="D842" s="44"/>
      <c r="E842" s="44"/>
    </row>
    <row r="843" spans="2:5" x14ac:dyDescent="0.25">
      <c r="B843" s="44"/>
      <c r="C843" s="44"/>
      <c r="D843" s="44"/>
      <c r="E843" s="44"/>
    </row>
    <row r="844" spans="2:5" x14ac:dyDescent="0.25">
      <c r="B844" s="44"/>
      <c r="C844" s="44"/>
      <c r="D844" s="44"/>
      <c r="E844" s="44"/>
    </row>
    <row r="845" spans="2:5" x14ac:dyDescent="0.25">
      <c r="B845" s="44"/>
      <c r="C845" s="44"/>
      <c r="D845" s="44"/>
      <c r="E845" s="44"/>
    </row>
    <row r="846" spans="2:5" x14ac:dyDescent="0.25">
      <c r="B846" s="44"/>
      <c r="C846" s="44"/>
      <c r="D846" s="44"/>
      <c r="E846" s="44"/>
    </row>
    <row r="847" spans="2:5" x14ac:dyDescent="0.25">
      <c r="B847" s="44"/>
      <c r="C847" s="44"/>
      <c r="D847" s="44"/>
      <c r="E847" s="44"/>
    </row>
    <row r="848" spans="2:5" x14ac:dyDescent="0.25">
      <c r="B848" s="44"/>
      <c r="C848" s="44"/>
      <c r="D848" s="44"/>
      <c r="E848" s="44"/>
    </row>
    <row r="849" spans="2:5" x14ac:dyDescent="0.25">
      <c r="B849" s="44"/>
      <c r="C849" s="44"/>
      <c r="D849" s="44"/>
      <c r="E849" s="44"/>
    </row>
    <row r="850" spans="2:5" x14ac:dyDescent="0.25">
      <c r="B850" s="44"/>
      <c r="C850" s="44"/>
      <c r="D850" s="44"/>
      <c r="E850" s="44"/>
    </row>
    <row r="851" spans="2:5" x14ac:dyDescent="0.25">
      <c r="B851" s="44"/>
      <c r="C851" s="44"/>
      <c r="D851" s="44"/>
      <c r="E851" s="44"/>
    </row>
    <row r="852" spans="2:5" x14ac:dyDescent="0.25">
      <c r="B852" s="44"/>
      <c r="C852" s="44"/>
      <c r="D852" s="44"/>
      <c r="E852" s="44"/>
    </row>
    <row r="853" spans="2:5" x14ac:dyDescent="0.25">
      <c r="B853" s="44"/>
      <c r="C853" s="44"/>
      <c r="D853" s="44"/>
      <c r="E853" s="44"/>
    </row>
    <row r="854" spans="2:5" x14ac:dyDescent="0.25">
      <c r="B854" s="44"/>
      <c r="C854" s="44"/>
      <c r="D854" s="44"/>
      <c r="E854" s="44"/>
    </row>
    <row r="855" spans="2:5" x14ac:dyDescent="0.25">
      <c r="B855" s="44"/>
      <c r="C855" s="44"/>
      <c r="D855" s="44"/>
      <c r="E855" s="44"/>
    </row>
    <row r="856" spans="2:5" x14ac:dyDescent="0.25">
      <c r="B856" s="44"/>
      <c r="C856" s="44"/>
      <c r="D856" s="44"/>
      <c r="E856" s="44"/>
    </row>
    <row r="857" spans="2:5" x14ac:dyDescent="0.25">
      <c r="B857" s="44"/>
      <c r="C857" s="44"/>
      <c r="D857" s="44"/>
      <c r="E857" s="44"/>
    </row>
    <row r="858" spans="2:5" x14ac:dyDescent="0.25">
      <c r="B858" s="44"/>
      <c r="C858" s="44"/>
      <c r="D858" s="44"/>
      <c r="E858" s="44"/>
    </row>
    <row r="859" spans="2:5" x14ac:dyDescent="0.25">
      <c r="B859" s="44"/>
      <c r="C859" s="44"/>
      <c r="D859" s="44"/>
      <c r="E859" s="44"/>
    </row>
    <row r="860" spans="2:5" x14ac:dyDescent="0.25">
      <c r="B860" s="44"/>
      <c r="C860" s="44"/>
      <c r="D860" s="44"/>
      <c r="E860" s="44"/>
    </row>
    <row r="861" spans="2:5" x14ac:dyDescent="0.25">
      <c r="B861" s="44"/>
      <c r="C861" s="44"/>
      <c r="D861" s="44"/>
      <c r="E861" s="44"/>
    </row>
    <row r="862" spans="2:5" x14ac:dyDescent="0.25">
      <c r="B862" s="44"/>
      <c r="C862" s="44"/>
      <c r="D862" s="44"/>
      <c r="E862" s="44"/>
    </row>
    <row r="863" spans="2:5" x14ac:dyDescent="0.25">
      <c r="B863" s="44"/>
      <c r="C863" s="44"/>
      <c r="D863" s="44"/>
      <c r="E863" s="44"/>
    </row>
    <row r="864" spans="2:5" x14ac:dyDescent="0.25">
      <c r="B864" s="44"/>
      <c r="C864" s="44"/>
      <c r="D864" s="44"/>
      <c r="E864" s="44"/>
    </row>
    <row r="865" spans="2:5" x14ac:dyDescent="0.25">
      <c r="B865" s="44"/>
      <c r="C865" s="44"/>
      <c r="D865" s="44"/>
      <c r="E865" s="44"/>
    </row>
    <row r="866" spans="2:5" x14ac:dyDescent="0.25">
      <c r="B866" s="44"/>
      <c r="C866" s="44"/>
      <c r="D866" s="44"/>
      <c r="E866" s="44"/>
    </row>
    <row r="867" spans="2:5" x14ac:dyDescent="0.25">
      <c r="B867" s="44"/>
      <c r="C867" s="44"/>
      <c r="D867" s="44"/>
      <c r="E867" s="44"/>
    </row>
    <row r="868" spans="2:5" x14ac:dyDescent="0.25">
      <c r="B868" s="44"/>
      <c r="C868" s="44"/>
      <c r="D868" s="44"/>
      <c r="E868" s="44"/>
    </row>
    <row r="869" spans="2:5" x14ac:dyDescent="0.25">
      <c r="B869" s="44"/>
      <c r="C869" s="44"/>
      <c r="D869" s="44"/>
      <c r="E869" s="44"/>
    </row>
    <row r="870" spans="2:5" x14ac:dyDescent="0.25">
      <c r="B870" s="44"/>
      <c r="C870" s="44"/>
      <c r="D870" s="44"/>
      <c r="E870" s="44"/>
    </row>
    <row r="871" spans="2:5" x14ac:dyDescent="0.25">
      <c r="B871" s="44"/>
      <c r="C871" s="44"/>
      <c r="D871" s="44"/>
      <c r="E871" s="44"/>
    </row>
    <row r="872" spans="2:5" x14ac:dyDescent="0.25">
      <c r="B872" s="44"/>
      <c r="C872" s="44"/>
      <c r="D872" s="44"/>
      <c r="E872" s="44"/>
    </row>
    <row r="873" spans="2:5" x14ac:dyDescent="0.25">
      <c r="B873" s="44"/>
      <c r="C873" s="44"/>
      <c r="D873" s="44"/>
      <c r="E873" s="44"/>
    </row>
    <row r="874" spans="2:5" x14ac:dyDescent="0.25">
      <c r="B874" s="44"/>
      <c r="C874" s="44"/>
      <c r="D874" s="44"/>
      <c r="E874" s="44"/>
    </row>
    <row r="875" spans="2:5" x14ac:dyDescent="0.25">
      <c r="B875" s="44"/>
      <c r="C875" s="44"/>
      <c r="D875" s="44"/>
      <c r="E875" s="44"/>
    </row>
    <row r="876" spans="2:5" x14ac:dyDescent="0.25">
      <c r="B876" s="44"/>
      <c r="C876" s="44"/>
      <c r="D876" s="44"/>
      <c r="E876" s="44"/>
    </row>
    <row r="877" spans="2:5" x14ac:dyDescent="0.25">
      <c r="B877" s="44"/>
      <c r="C877" s="44"/>
      <c r="D877" s="44"/>
      <c r="E877" s="44"/>
    </row>
    <row r="878" spans="2:5" x14ac:dyDescent="0.25">
      <c r="B878" s="44"/>
      <c r="C878" s="44"/>
      <c r="D878" s="44"/>
      <c r="E878" s="44"/>
    </row>
    <row r="879" spans="2:5" x14ac:dyDescent="0.25">
      <c r="B879" s="44"/>
      <c r="C879" s="44"/>
      <c r="D879" s="44"/>
      <c r="E879" s="44"/>
    </row>
    <row r="880" spans="2:5" x14ac:dyDescent="0.25">
      <c r="B880" s="44"/>
      <c r="C880" s="44"/>
      <c r="D880" s="44"/>
      <c r="E880" s="44"/>
    </row>
    <row r="881" spans="2:5" x14ac:dyDescent="0.25">
      <c r="B881" s="44"/>
      <c r="C881" s="44"/>
      <c r="D881" s="44"/>
      <c r="E881" s="44"/>
    </row>
    <row r="882" spans="2:5" x14ac:dyDescent="0.25">
      <c r="B882" s="44"/>
      <c r="C882" s="44"/>
      <c r="D882" s="44"/>
      <c r="E882" s="44"/>
    </row>
    <row r="883" spans="2:5" x14ac:dyDescent="0.25">
      <c r="B883" s="44"/>
      <c r="C883" s="44"/>
      <c r="D883" s="44"/>
      <c r="E883" s="44"/>
    </row>
    <row r="884" spans="2:5" x14ac:dyDescent="0.25">
      <c r="B884" s="44"/>
      <c r="C884" s="44"/>
      <c r="D884" s="44"/>
      <c r="E884" s="44"/>
    </row>
    <row r="885" spans="2:5" x14ac:dyDescent="0.25">
      <c r="B885" s="44"/>
      <c r="C885" s="44"/>
      <c r="D885" s="44"/>
      <c r="E885" s="44"/>
    </row>
    <row r="886" spans="2:5" x14ac:dyDescent="0.25">
      <c r="B886" s="44"/>
      <c r="C886" s="44"/>
      <c r="D886" s="44"/>
      <c r="E886" s="44"/>
    </row>
    <row r="887" spans="2:5" x14ac:dyDescent="0.25">
      <c r="B887" s="44"/>
      <c r="C887" s="44"/>
      <c r="D887" s="44"/>
      <c r="E887" s="44"/>
    </row>
    <row r="888" spans="2:5" x14ac:dyDescent="0.25">
      <c r="B888" s="44"/>
      <c r="C888" s="44"/>
      <c r="D888" s="44"/>
      <c r="E888" s="44"/>
    </row>
    <row r="889" spans="2:5" x14ac:dyDescent="0.25">
      <c r="B889" s="44"/>
      <c r="C889" s="44"/>
      <c r="D889" s="44"/>
      <c r="E889" s="44"/>
    </row>
    <row r="890" spans="2:5" x14ac:dyDescent="0.25">
      <c r="B890" s="44"/>
      <c r="C890" s="44"/>
      <c r="D890" s="44"/>
      <c r="E890" s="44"/>
    </row>
    <row r="891" spans="2:5" x14ac:dyDescent="0.25">
      <c r="B891" s="44"/>
      <c r="C891" s="44"/>
      <c r="D891" s="44"/>
      <c r="E891" s="44"/>
    </row>
    <row r="892" spans="2:5" x14ac:dyDescent="0.25">
      <c r="B892" s="44"/>
      <c r="C892" s="44"/>
      <c r="D892" s="44"/>
      <c r="E892" s="44"/>
    </row>
    <row r="893" spans="2:5" x14ac:dyDescent="0.25">
      <c r="B893" s="44"/>
      <c r="C893" s="44"/>
      <c r="D893" s="44"/>
      <c r="E893" s="44"/>
    </row>
    <row r="894" spans="2:5" x14ac:dyDescent="0.25">
      <c r="B894" s="44"/>
      <c r="C894" s="44"/>
      <c r="D894" s="44"/>
      <c r="E894" s="44"/>
    </row>
    <row r="895" spans="2:5" x14ac:dyDescent="0.25">
      <c r="B895" s="44"/>
      <c r="C895" s="44"/>
      <c r="D895" s="44"/>
      <c r="E895" s="44"/>
    </row>
    <row r="896" spans="2:5" x14ac:dyDescent="0.25">
      <c r="B896" s="44"/>
      <c r="C896" s="44"/>
      <c r="D896" s="44"/>
      <c r="E896" s="44"/>
    </row>
    <row r="897" spans="2:5" x14ac:dyDescent="0.25">
      <c r="B897" s="44"/>
      <c r="C897" s="44"/>
      <c r="D897" s="44"/>
      <c r="E897" s="44"/>
    </row>
    <row r="898" spans="2:5" x14ac:dyDescent="0.25">
      <c r="B898" s="44"/>
      <c r="C898" s="44"/>
      <c r="D898" s="44"/>
      <c r="E898" s="44"/>
    </row>
    <row r="899" spans="2:5" x14ac:dyDescent="0.25">
      <c r="B899" s="44"/>
      <c r="C899" s="44"/>
      <c r="D899" s="44"/>
      <c r="E899" s="44"/>
    </row>
    <row r="900" spans="2:5" x14ac:dyDescent="0.25">
      <c r="B900" s="44"/>
      <c r="C900" s="44"/>
      <c r="D900" s="44"/>
      <c r="E900" s="44"/>
    </row>
    <row r="901" spans="2:5" x14ac:dyDescent="0.25">
      <c r="B901" s="44"/>
      <c r="C901" s="44"/>
      <c r="D901" s="44"/>
      <c r="E901" s="44"/>
    </row>
    <row r="902" spans="2:5" x14ac:dyDescent="0.25">
      <c r="B902" s="44"/>
      <c r="C902" s="44"/>
      <c r="D902" s="44"/>
      <c r="E902" s="44"/>
    </row>
    <row r="903" spans="2:5" x14ac:dyDescent="0.25">
      <c r="B903" s="44"/>
      <c r="C903" s="44"/>
      <c r="D903" s="44"/>
      <c r="E903" s="44"/>
    </row>
    <row r="904" spans="2:5" x14ac:dyDescent="0.25">
      <c r="B904" s="44"/>
      <c r="C904" s="44"/>
      <c r="D904" s="44"/>
      <c r="E904" s="44"/>
    </row>
    <row r="905" spans="2:5" x14ac:dyDescent="0.25">
      <c r="B905" s="44"/>
      <c r="C905" s="44"/>
      <c r="D905" s="44"/>
      <c r="E905" s="44"/>
    </row>
    <row r="906" spans="2:5" x14ac:dyDescent="0.25">
      <c r="B906" s="44"/>
      <c r="C906" s="44"/>
      <c r="D906" s="44"/>
      <c r="E906" s="44"/>
    </row>
    <row r="907" spans="2:5" x14ac:dyDescent="0.25">
      <c r="B907" s="44"/>
      <c r="C907" s="44"/>
      <c r="D907" s="44"/>
      <c r="E907" s="44"/>
    </row>
    <row r="908" spans="2:5" x14ac:dyDescent="0.25">
      <c r="B908" s="44"/>
      <c r="C908" s="44"/>
      <c r="D908" s="44"/>
      <c r="E908" s="44"/>
    </row>
    <row r="909" spans="2:5" x14ac:dyDescent="0.25">
      <c r="B909" s="44"/>
      <c r="C909" s="44"/>
      <c r="D909" s="44"/>
      <c r="E909" s="44"/>
    </row>
    <row r="910" spans="2:5" x14ac:dyDescent="0.25">
      <c r="B910" s="44"/>
      <c r="C910" s="44"/>
      <c r="D910" s="44"/>
      <c r="E910" s="44"/>
    </row>
    <row r="911" spans="2:5" x14ac:dyDescent="0.25">
      <c r="B911" s="44"/>
      <c r="C911" s="44"/>
      <c r="D911" s="44"/>
      <c r="E911" s="44"/>
    </row>
    <row r="912" spans="2:5" x14ac:dyDescent="0.25">
      <c r="B912" s="44"/>
      <c r="C912" s="44"/>
      <c r="D912" s="44"/>
      <c r="E912" s="44"/>
    </row>
    <row r="913" spans="2:5" x14ac:dyDescent="0.25">
      <c r="B913" s="44"/>
      <c r="C913" s="44"/>
      <c r="D913" s="44"/>
      <c r="E913" s="44"/>
    </row>
    <row r="914" spans="2:5" x14ac:dyDescent="0.25">
      <c r="B914" s="44"/>
      <c r="C914" s="44"/>
      <c r="D914" s="44"/>
      <c r="E914" s="44"/>
    </row>
    <row r="915" spans="2:5" x14ac:dyDescent="0.25">
      <c r="B915" s="44"/>
      <c r="C915" s="44"/>
      <c r="D915" s="44"/>
      <c r="E915" s="44"/>
    </row>
    <row r="916" spans="2:5" x14ac:dyDescent="0.25">
      <c r="B916" s="44"/>
      <c r="C916" s="44"/>
      <c r="D916" s="44"/>
      <c r="E916" s="44"/>
    </row>
    <row r="917" spans="2:5" x14ac:dyDescent="0.25">
      <c r="B917" s="44"/>
      <c r="C917" s="44"/>
      <c r="D917" s="44"/>
      <c r="E917" s="44"/>
    </row>
    <row r="918" spans="2:5" x14ac:dyDescent="0.25">
      <c r="B918" s="44"/>
      <c r="C918" s="44"/>
      <c r="D918" s="44"/>
      <c r="E918" s="44"/>
    </row>
    <row r="919" spans="2:5" x14ac:dyDescent="0.25">
      <c r="B919" s="44"/>
      <c r="C919" s="44"/>
      <c r="D919" s="44"/>
      <c r="E919" s="44"/>
    </row>
    <row r="920" spans="2:5" x14ac:dyDescent="0.25">
      <c r="B920" s="44"/>
      <c r="C920" s="44"/>
      <c r="D920" s="44"/>
      <c r="E920" s="44"/>
    </row>
    <row r="921" spans="2:5" x14ac:dyDescent="0.25">
      <c r="B921" s="44"/>
      <c r="C921" s="44"/>
      <c r="D921" s="44"/>
      <c r="E921" s="44"/>
    </row>
    <row r="922" spans="2:5" x14ac:dyDescent="0.25">
      <c r="B922" s="44"/>
      <c r="C922" s="44"/>
      <c r="D922" s="44"/>
      <c r="E922" s="44"/>
    </row>
    <row r="923" spans="2:5" x14ac:dyDescent="0.25">
      <c r="B923" s="44"/>
      <c r="C923" s="44"/>
      <c r="D923" s="44"/>
      <c r="E923" s="44"/>
    </row>
    <row r="924" spans="2:5" x14ac:dyDescent="0.25">
      <c r="B924" s="44"/>
      <c r="C924" s="44"/>
      <c r="D924" s="44"/>
      <c r="E924" s="44"/>
    </row>
    <row r="925" spans="2:5" x14ac:dyDescent="0.25">
      <c r="B925" s="44"/>
      <c r="C925" s="44"/>
      <c r="D925" s="44"/>
      <c r="E925" s="44"/>
    </row>
    <row r="926" spans="2:5" x14ac:dyDescent="0.25">
      <c r="B926" s="44"/>
      <c r="C926" s="44"/>
      <c r="D926" s="44"/>
      <c r="E926" s="44"/>
    </row>
    <row r="927" spans="2:5" x14ac:dyDescent="0.25">
      <c r="B927" s="44"/>
      <c r="C927" s="44"/>
      <c r="D927" s="44"/>
      <c r="E927" s="44"/>
    </row>
    <row r="928" spans="2:5" x14ac:dyDescent="0.25">
      <c r="B928" s="44"/>
      <c r="C928" s="44"/>
      <c r="D928" s="44"/>
      <c r="E928" s="44"/>
    </row>
    <row r="929" spans="2:5" x14ac:dyDescent="0.25">
      <c r="B929" s="44"/>
      <c r="C929" s="44"/>
      <c r="D929" s="44"/>
      <c r="E929" s="44"/>
    </row>
    <row r="930" spans="2:5" x14ac:dyDescent="0.25">
      <c r="B930" s="44"/>
      <c r="C930" s="44"/>
      <c r="D930" s="44"/>
      <c r="E930" s="44"/>
    </row>
    <row r="931" spans="2:5" x14ac:dyDescent="0.25">
      <c r="B931" s="44"/>
      <c r="C931" s="44"/>
      <c r="D931" s="44"/>
      <c r="E931" s="44"/>
    </row>
    <row r="932" spans="2:5" x14ac:dyDescent="0.25">
      <c r="B932" s="44"/>
      <c r="C932" s="44"/>
      <c r="D932" s="44"/>
      <c r="E932" s="44"/>
    </row>
    <row r="933" spans="2:5" x14ac:dyDescent="0.25">
      <c r="B933" s="44"/>
      <c r="C933" s="44"/>
      <c r="D933" s="44"/>
      <c r="E933" s="44"/>
    </row>
    <row r="934" spans="2:5" x14ac:dyDescent="0.25">
      <c r="B934" s="44"/>
      <c r="C934" s="44"/>
      <c r="D934" s="44"/>
      <c r="E934" s="44"/>
    </row>
    <row r="935" spans="2:5" x14ac:dyDescent="0.25">
      <c r="B935" s="44"/>
      <c r="C935" s="44"/>
      <c r="D935" s="44"/>
      <c r="E935" s="44"/>
    </row>
    <row r="936" spans="2:5" x14ac:dyDescent="0.25">
      <c r="B936" s="44"/>
      <c r="C936" s="44"/>
      <c r="D936" s="44"/>
      <c r="E936" s="44"/>
    </row>
    <row r="937" spans="2:5" x14ac:dyDescent="0.25">
      <c r="B937" s="44"/>
      <c r="C937" s="44"/>
      <c r="D937" s="44"/>
      <c r="E937" s="44"/>
    </row>
    <row r="938" spans="2:5" x14ac:dyDescent="0.25">
      <c r="B938" s="44"/>
      <c r="C938" s="44"/>
      <c r="D938" s="44"/>
      <c r="E938" s="44"/>
    </row>
    <row r="939" spans="2:5" x14ac:dyDescent="0.25">
      <c r="B939" s="44"/>
      <c r="C939" s="44"/>
      <c r="D939" s="44"/>
      <c r="E939" s="44"/>
    </row>
    <row r="940" spans="2:5" x14ac:dyDescent="0.25">
      <c r="B940" s="44"/>
      <c r="C940" s="44"/>
      <c r="D940" s="44"/>
      <c r="E940" s="44"/>
    </row>
    <row r="941" spans="2:5" x14ac:dyDescent="0.25">
      <c r="B941" s="44"/>
      <c r="C941" s="44"/>
      <c r="D941" s="44"/>
      <c r="E941" s="44"/>
    </row>
    <row r="942" spans="2:5" x14ac:dyDescent="0.25">
      <c r="B942" s="44"/>
      <c r="C942" s="44"/>
      <c r="D942" s="44"/>
      <c r="E942" s="44"/>
    </row>
    <row r="943" spans="2:5" x14ac:dyDescent="0.25">
      <c r="B943" s="44"/>
      <c r="C943" s="44"/>
      <c r="D943" s="44"/>
      <c r="E943" s="44"/>
    </row>
    <row r="944" spans="2:5" x14ac:dyDescent="0.25">
      <c r="B944" s="44"/>
      <c r="C944" s="44"/>
      <c r="D944" s="44"/>
      <c r="E944" s="44"/>
    </row>
    <row r="945" spans="2:5" x14ac:dyDescent="0.25">
      <c r="B945" s="44"/>
      <c r="C945" s="44"/>
      <c r="D945" s="44"/>
      <c r="E945" s="44"/>
    </row>
    <row r="946" spans="2:5" x14ac:dyDescent="0.25">
      <c r="B946" s="44"/>
      <c r="C946" s="44"/>
      <c r="D946" s="44"/>
      <c r="E946" s="44"/>
    </row>
    <row r="947" spans="2:5" x14ac:dyDescent="0.25">
      <c r="B947" s="44"/>
      <c r="C947" s="44"/>
      <c r="D947" s="44"/>
      <c r="E947" s="44"/>
    </row>
    <row r="948" spans="2:5" x14ac:dyDescent="0.25">
      <c r="B948" s="44"/>
      <c r="C948" s="44"/>
      <c r="D948" s="44"/>
      <c r="E948" s="44"/>
    </row>
    <row r="949" spans="2:5" x14ac:dyDescent="0.25">
      <c r="B949" s="44"/>
      <c r="C949" s="44"/>
      <c r="D949" s="44"/>
      <c r="E949" s="44"/>
    </row>
    <row r="950" spans="2:5" x14ac:dyDescent="0.25">
      <c r="B950" s="44"/>
      <c r="C950" s="44"/>
      <c r="D950" s="44"/>
      <c r="E950" s="44"/>
    </row>
    <row r="951" spans="2:5" x14ac:dyDescent="0.25">
      <c r="B951" s="44"/>
      <c r="C951" s="44"/>
      <c r="D951" s="44"/>
      <c r="E951" s="44"/>
    </row>
    <row r="952" spans="2:5" x14ac:dyDescent="0.25">
      <c r="B952" s="44"/>
      <c r="C952" s="44"/>
      <c r="D952" s="44"/>
      <c r="E952" s="44"/>
    </row>
    <row r="953" spans="2:5" x14ac:dyDescent="0.25">
      <c r="B953" s="44"/>
      <c r="C953" s="44"/>
      <c r="D953" s="44"/>
      <c r="E953" s="44"/>
    </row>
    <row r="954" spans="2:5" x14ac:dyDescent="0.25">
      <c r="B954" s="44"/>
      <c r="C954" s="44"/>
      <c r="D954" s="44"/>
      <c r="E954" s="44"/>
    </row>
    <row r="955" spans="2:5" x14ac:dyDescent="0.25">
      <c r="B955" s="44"/>
      <c r="C955" s="44"/>
      <c r="D955" s="44"/>
      <c r="E955" s="44"/>
    </row>
    <row r="956" spans="2:5" x14ac:dyDescent="0.25">
      <c r="B956" s="44"/>
      <c r="C956" s="44"/>
      <c r="D956" s="44"/>
      <c r="E956" s="44"/>
    </row>
    <row r="957" spans="2:5" x14ac:dyDescent="0.25">
      <c r="B957" s="44"/>
      <c r="C957" s="44"/>
      <c r="D957" s="44"/>
      <c r="E957" s="44"/>
    </row>
    <row r="958" spans="2:5" x14ac:dyDescent="0.25">
      <c r="B958" s="44"/>
      <c r="C958" s="44"/>
      <c r="D958" s="44"/>
      <c r="E958" s="44"/>
    </row>
    <row r="959" spans="2:5" x14ac:dyDescent="0.25">
      <c r="B959" s="44"/>
      <c r="C959" s="44"/>
      <c r="D959" s="44"/>
      <c r="E959" s="44"/>
    </row>
    <row r="960" spans="2:5" x14ac:dyDescent="0.25">
      <c r="B960" s="44"/>
      <c r="C960" s="44"/>
      <c r="D960" s="44"/>
      <c r="E960" s="44"/>
    </row>
    <row r="961" spans="2:5" x14ac:dyDescent="0.25">
      <c r="B961" s="44"/>
      <c r="C961" s="44"/>
      <c r="D961" s="44"/>
      <c r="E961" s="44"/>
    </row>
    <row r="962" spans="2:5" x14ac:dyDescent="0.25">
      <c r="B962" s="44"/>
      <c r="C962" s="44"/>
      <c r="D962" s="44"/>
      <c r="E962" s="44"/>
    </row>
    <row r="963" spans="2:5" x14ac:dyDescent="0.25">
      <c r="B963" s="44"/>
      <c r="C963" s="44"/>
      <c r="D963" s="44"/>
      <c r="E963" s="44"/>
    </row>
    <row r="964" spans="2:5" x14ac:dyDescent="0.25">
      <c r="B964" s="44"/>
      <c r="C964" s="44"/>
      <c r="D964" s="44"/>
      <c r="E964" s="44"/>
    </row>
    <row r="965" spans="2:5" x14ac:dyDescent="0.25">
      <c r="B965" s="44"/>
      <c r="C965" s="44"/>
      <c r="D965" s="44"/>
      <c r="E965" s="44"/>
    </row>
    <row r="966" spans="2:5" x14ac:dyDescent="0.25">
      <c r="B966" s="44"/>
      <c r="C966" s="44"/>
      <c r="D966" s="44"/>
      <c r="E966" s="44"/>
    </row>
    <row r="967" spans="2:5" x14ac:dyDescent="0.25">
      <c r="B967" s="44"/>
      <c r="C967" s="44"/>
      <c r="D967" s="44"/>
      <c r="E967" s="44"/>
    </row>
    <row r="968" spans="2:5" x14ac:dyDescent="0.25">
      <c r="B968" s="44"/>
      <c r="C968" s="44"/>
      <c r="D968" s="44"/>
      <c r="E968" s="44"/>
    </row>
    <row r="969" spans="2:5" x14ac:dyDescent="0.25">
      <c r="B969" s="44"/>
      <c r="C969" s="44"/>
      <c r="D969" s="44"/>
      <c r="E969" s="44"/>
    </row>
    <row r="970" spans="2:5" x14ac:dyDescent="0.25">
      <c r="B970" s="44"/>
      <c r="C970" s="44"/>
      <c r="D970" s="44"/>
      <c r="E970" s="44"/>
    </row>
    <row r="971" spans="2:5" x14ac:dyDescent="0.25">
      <c r="B971" s="44"/>
      <c r="C971" s="44"/>
      <c r="D971" s="44"/>
      <c r="E971" s="44"/>
    </row>
    <row r="972" spans="2:5" x14ac:dyDescent="0.25">
      <c r="B972" s="44"/>
      <c r="C972" s="44"/>
      <c r="D972" s="44"/>
      <c r="E972" s="44"/>
    </row>
    <row r="973" spans="2:5" x14ac:dyDescent="0.25">
      <c r="B973" s="44"/>
      <c r="C973" s="44"/>
      <c r="D973" s="44"/>
      <c r="E973" s="44"/>
    </row>
    <row r="974" spans="2:5" x14ac:dyDescent="0.25">
      <c r="B974" s="44"/>
      <c r="C974" s="44"/>
      <c r="D974" s="44"/>
      <c r="E974" s="44"/>
    </row>
    <row r="975" spans="2:5" x14ac:dyDescent="0.25">
      <c r="B975" s="44"/>
      <c r="C975" s="44"/>
      <c r="D975" s="44"/>
      <c r="E975" s="44"/>
    </row>
    <row r="976" spans="2:5" x14ac:dyDescent="0.25">
      <c r="B976" s="44"/>
      <c r="C976" s="44"/>
      <c r="D976" s="44"/>
      <c r="E976" s="44"/>
    </row>
    <row r="977" spans="2:5" x14ac:dyDescent="0.25">
      <c r="B977" s="44"/>
      <c r="C977" s="44"/>
      <c r="D977" s="44"/>
      <c r="E977" s="44"/>
    </row>
    <row r="978" spans="2:5" x14ac:dyDescent="0.25">
      <c r="B978" s="44"/>
      <c r="C978" s="44"/>
      <c r="D978" s="44"/>
      <c r="E978" s="44"/>
    </row>
    <row r="979" spans="2:5" x14ac:dyDescent="0.25">
      <c r="B979" s="44"/>
      <c r="C979" s="44"/>
      <c r="D979" s="44"/>
      <c r="E979" s="44"/>
    </row>
    <row r="980" spans="2:5" x14ac:dyDescent="0.25">
      <c r="B980" s="44"/>
      <c r="C980" s="44"/>
      <c r="D980" s="44"/>
      <c r="E980" s="44"/>
    </row>
    <row r="981" spans="2:5" x14ac:dyDescent="0.25">
      <c r="B981" s="44"/>
      <c r="C981" s="44"/>
      <c r="D981" s="44"/>
      <c r="E981" s="44"/>
    </row>
    <row r="982" spans="2:5" x14ac:dyDescent="0.25">
      <c r="B982" s="44"/>
      <c r="C982" s="44"/>
      <c r="D982" s="44"/>
      <c r="E982" s="44"/>
    </row>
    <row r="983" spans="2:5" x14ac:dyDescent="0.25">
      <c r="B983" s="44"/>
      <c r="C983" s="44"/>
      <c r="D983" s="44"/>
      <c r="E983" s="44"/>
    </row>
    <row r="984" spans="2:5" x14ac:dyDescent="0.25">
      <c r="B984" s="44"/>
      <c r="C984" s="44"/>
      <c r="D984" s="44"/>
      <c r="E984" s="44"/>
    </row>
    <row r="985" spans="2:5" x14ac:dyDescent="0.25">
      <c r="B985" s="44"/>
      <c r="C985" s="44"/>
      <c r="D985" s="44"/>
      <c r="E985" s="44"/>
    </row>
    <row r="986" spans="2:5" x14ac:dyDescent="0.25">
      <c r="B986" s="44"/>
      <c r="C986" s="44"/>
      <c r="D986" s="44"/>
      <c r="E986" s="44"/>
    </row>
    <row r="987" spans="2:5" x14ac:dyDescent="0.25">
      <c r="B987" s="44"/>
      <c r="C987" s="44"/>
      <c r="D987" s="44"/>
      <c r="E987" s="44"/>
    </row>
    <row r="988" spans="2:5" x14ac:dyDescent="0.25">
      <c r="B988" s="44"/>
      <c r="C988" s="44"/>
      <c r="D988" s="44"/>
      <c r="E988" s="44"/>
    </row>
    <row r="989" spans="2:5" x14ac:dyDescent="0.25">
      <c r="B989" s="44"/>
      <c r="C989" s="44"/>
      <c r="D989" s="44"/>
      <c r="E989" s="44"/>
    </row>
    <row r="990" spans="2:5" x14ac:dyDescent="0.25">
      <c r="B990" s="44"/>
      <c r="C990" s="44"/>
      <c r="D990" s="44"/>
      <c r="E990" s="44"/>
    </row>
    <row r="991" spans="2:5" x14ac:dyDescent="0.25">
      <c r="B991" s="44"/>
      <c r="C991" s="44"/>
      <c r="D991" s="44"/>
      <c r="E991" s="44"/>
    </row>
    <row r="992" spans="2:5" x14ac:dyDescent="0.25">
      <c r="B992" s="44"/>
      <c r="C992" s="44"/>
      <c r="D992" s="44"/>
      <c r="E992" s="44"/>
    </row>
    <row r="993" spans="2:5" x14ac:dyDescent="0.25">
      <c r="B993" s="44"/>
      <c r="C993" s="44"/>
      <c r="D993" s="44"/>
      <c r="E993" s="44"/>
    </row>
    <row r="994" spans="2:5" x14ac:dyDescent="0.25">
      <c r="B994" s="44"/>
      <c r="C994" s="44"/>
      <c r="D994" s="44"/>
      <c r="E994" s="44"/>
    </row>
    <row r="995" spans="2:5" x14ac:dyDescent="0.25">
      <c r="B995" s="44"/>
      <c r="C995" s="44"/>
      <c r="D995" s="44"/>
      <c r="E995" s="44"/>
    </row>
    <row r="996" spans="2:5" x14ac:dyDescent="0.25">
      <c r="B996" s="44"/>
      <c r="C996" s="44"/>
      <c r="D996" s="44"/>
      <c r="E996" s="44"/>
    </row>
    <row r="997" spans="2:5" x14ac:dyDescent="0.25">
      <c r="B997" s="44"/>
      <c r="C997" s="44"/>
      <c r="D997" s="44"/>
      <c r="E997" s="44"/>
    </row>
    <row r="998" spans="2:5" x14ac:dyDescent="0.25">
      <c r="B998" s="44"/>
      <c r="C998" s="44"/>
      <c r="D998" s="44"/>
      <c r="E998" s="44"/>
    </row>
    <row r="999" spans="2:5" x14ac:dyDescent="0.25">
      <c r="B999" s="44"/>
      <c r="C999" s="44"/>
      <c r="D999" s="44"/>
      <c r="E999" s="44"/>
    </row>
    <row r="1000" spans="2:5" x14ac:dyDescent="0.25">
      <c r="B1000" s="44"/>
      <c r="C1000" s="44"/>
      <c r="D1000" s="44"/>
      <c r="E1000" s="4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K64"/>
  <sheetViews>
    <sheetView workbookViewId="0"/>
  </sheetViews>
  <sheetFormatPr defaultColWidth="14.42578125" defaultRowHeight="15" customHeight="1" x14ac:dyDescent="0.25"/>
  <cols>
    <col min="1" max="1" width="20.140625" customWidth="1"/>
    <col min="2" max="3" width="20" customWidth="1"/>
  </cols>
  <sheetData>
    <row r="1" spans="1:11" ht="115.5" customHeight="1" x14ac:dyDescent="0.25">
      <c r="A1" s="45" t="s">
        <v>234</v>
      </c>
      <c r="B1" s="46" t="s">
        <v>235</v>
      </c>
      <c r="C1" s="46" t="s">
        <v>236</v>
      </c>
      <c r="D1" s="46" t="s">
        <v>237</v>
      </c>
      <c r="E1" s="46" t="s">
        <v>238</v>
      </c>
      <c r="F1" s="46" t="s">
        <v>239</v>
      </c>
      <c r="G1" s="46" t="s">
        <v>240</v>
      </c>
      <c r="H1" s="46" t="s">
        <v>241</v>
      </c>
      <c r="I1" s="46" t="s">
        <v>242</v>
      </c>
      <c r="J1" s="46" t="s">
        <v>243</v>
      </c>
      <c r="K1" s="46" t="s">
        <v>244</v>
      </c>
    </row>
    <row r="2" spans="1:11" x14ac:dyDescent="0.25">
      <c r="A2" s="47" t="s">
        <v>14</v>
      </c>
      <c r="B2" s="4">
        <v>1.058433924</v>
      </c>
      <c r="C2" s="48">
        <v>879</v>
      </c>
      <c r="D2" s="49">
        <v>5058</v>
      </c>
      <c r="E2" s="48">
        <v>3</v>
      </c>
      <c r="F2" s="49">
        <v>4500</v>
      </c>
      <c r="G2" s="49">
        <v>80820</v>
      </c>
      <c r="H2" s="49">
        <v>196280</v>
      </c>
      <c r="I2" s="50">
        <v>7692.29</v>
      </c>
      <c r="J2" s="50">
        <v>4358.29</v>
      </c>
      <c r="K2" s="48">
        <v>2.2200000000000002</v>
      </c>
    </row>
    <row r="3" spans="1:11" x14ac:dyDescent="0.25">
      <c r="A3" s="47" t="s">
        <v>16</v>
      </c>
      <c r="B3" s="4">
        <v>0.81410773199999997</v>
      </c>
      <c r="C3" s="48">
        <v>329</v>
      </c>
      <c r="D3" s="49">
        <v>2182</v>
      </c>
      <c r="E3" s="48">
        <v>2</v>
      </c>
      <c r="F3" s="49">
        <v>2135</v>
      </c>
      <c r="G3" s="49">
        <v>30108</v>
      </c>
      <c r="H3" s="49">
        <v>53450</v>
      </c>
      <c r="I3" s="50">
        <v>6464.67</v>
      </c>
      <c r="J3" s="50">
        <v>1609.87</v>
      </c>
      <c r="K3" s="48">
        <v>3.01</v>
      </c>
    </row>
    <row r="4" spans="1:11" x14ac:dyDescent="0.25">
      <c r="A4" s="47" t="s">
        <v>17</v>
      </c>
      <c r="B4" s="4">
        <v>1.866743622</v>
      </c>
      <c r="C4" s="49">
        <v>1706</v>
      </c>
      <c r="D4" s="49">
        <v>7901</v>
      </c>
      <c r="E4" s="48">
        <v>4</v>
      </c>
      <c r="F4" s="49">
        <v>6437</v>
      </c>
      <c r="G4" s="49">
        <v>343771</v>
      </c>
      <c r="H4" s="49">
        <v>689920</v>
      </c>
      <c r="I4" s="50">
        <v>10676.5</v>
      </c>
      <c r="J4" s="50">
        <v>26617.35</v>
      </c>
      <c r="K4" s="48">
        <v>3.86</v>
      </c>
    </row>
    <row r="5" spans="1:11" x14ac:dyDescent="0.25">
      <c r="A5" s="47" t="s">
        <v>19</v>
      </c>
      <c r="B5" s="4">
        <v>0.69446341099999997</v>
      </c>
      <c r="C5" s="48">
        <v>116</v>
      </c>
      <c r="D5" s="48">
        <v>708</v>
      </c>
      <c r="E5" s="48">
        <v>2</v>
      </c>
      <c r="F5" s="48">
        <v>569</v>
      </c>
      <c r="G5" s="49">
        <v>7208</v>
      </c>
      <c r="H5" s="49">
        <v>8440</v>
      </c>
      <c r="I5" s="50">
        <v>7495.87</v>
      </c>
      <c r="J5" s="48">
        <v>-80.67</v>
      </c>
      <c r="K5" s="48">
        <v>-0.96</v>
      </c>
    </row>
    <row r="6" spans="1:11" x14ac:dyDescent="0.25">
      <c r="A6" s="47" t="s">
        <v>20</v>
      </c>
      <c r="B6" s="4">
        <v>2.7550351389999999</v>
      </c>
      <c r="C6" s="49">
        <v>2700</v>
      </c>
      <c r="D6" s="49">
        <v>14894</v>
      </c>
      <c r="E6" s="48">
        <v>10</v>
      </c>
      <c r="F6" s="49">
        <v>11958</v>
      </c>
      <c r="G6" s="49">
        <v>445434</v>
      </c>
      <c r="H6" s="49">
        <v>1690910</v>
      </c>
      <c r="I6" s="50">
        <v>11840.22</v>
      </c>
      <c r="J6" s="50">
        <v>82020.289999999994</v>
      </c>
      <c r="K6" s="48">
        <v>4.8499999999999996</v>
      </c>
    </row>
    <row r="7" spans="1:11" x14ac:dyDescent="0.25">
      <c r="A7" s="47" t="s">
        <v>22</v>
      </c>
      <c r="B7" s="4">
        <v>1.1519606680000001</v>
      </c>
      <c r="C7" s="48">
        <v>566</v>
      </c>
      <c r="D7" s="49">
        <v>3572</v>
      </c>
      <c r="E7" s="48">
        <v>3</v>
      </c>
      <c r="F7" s="49">
        <v>3248</v>
      </c>
      <c r="G7" s="49">
        <v>80948</v>
      </c>
      <c r="H7" s="49">
        <v>93030</v>
      </c>
      <c r="I7" s="50">
        <v>8252.32</v>
      </c>
      <c r="J7" s="50">
        <v>3059.04</v>
      </c>
      <c r="K7" s="48">
        <v>3.29</v>
      </c>
    </row>
    <row r="8" spans="1:11" x14ac:dyDescent="0.25">
      <c r="A8" s="47" t="s">
        <v>23</v>
      </c>
      <c r="B8" s="4">
        <v>3.3854843109999999</v>
      </c>
      <c r="C8" s="49">
        <v>6494</v>
      </c>
      <c r="D8" s="49">
        <v>40736</v>
      </c>
      <c r="E8" s="48">
        <v>15</v>
      </c>
      <c r="F8" s="49">
        <v>34056</v>
      </c>
      <c r="G8" s="49">
        <v>1070967</v>
      </c>
      <c r="H8" s="49">
        <v>1940290</v>
      </c>
      <c r="I8" s="50">
        <v>12005.72</v>
      </c>
      <c r="J8" s="50">
        <v>58711.07</v>
      </c>
      <c r="K8" s="48">
        <v>3.03</v>
      </c>
    </row>
    <row r="9" spans="1:11" x14ac:dyDescent="0.25">
      <c r="A9" s="47" t="s">
        <v>25</v>
      </c>
      <c r="B9" s="4">
        <v>0.60195130500000005</v>
      </c>
      <c r="C9" s="49">
        <v>1238</v>
      </c>
      <c r="D9" s="49">
        <v>7745</v>
      </c>
      <c r="E9" s="48">
        <v>5</v>
      </c>
      <c r="F9" s="49">
        <v>6812</v>
      </c>
      <c r="G9" s="49">
        <v>145153</v>
      </c>
      <c r="H9" s="49">
        <v>192560</v>
      </c>
      <c r="I9" s="50">
        <v>7642.59</v>
      </c>
      <c r="J9" s="50">
        <v>-14243.46</v>
      </c>
      <c r="K9" s="48">
        <v>-7.4</v>
      </c>
    </row>
    <row r="10" spans="1:11" x14ac:dyDescent="0.25">
      <c r="A10" s="47" t="s">
        <v>27</v>
      </c>
      <c r="B10" s="4">
        <v>1.4154386999999999</v>
      </c>
      <c r="C10" s="49">
        <v>1172</v>
      </c>
      <c r="D10" s="49">
        <v>6615</v>
      </c>
      <c r="E10" s="48">
        <v>6</v>
      </c>
      <c r="F10" s="49">
        <v>4907</v>
      </c>
      <c r="G10" s="49">
        <v>131860</v>
      </c>
      <c r="H10" s="49">
        <v>326450</v>
      </c>
      <c r="I10" s="50">
        <v>9697.33</v>
      </c>
      <c r="J10" s="50">
        <v>2776.41</v>
      </c>
      <c r="K10" s="48">
        <v>0.85</v>
      </c>
    </row>
    <row r="11" spans="1:11" x14ac:dyDescent="0.25">
      <c r="A11" s="47" t="s">
        <v>28</v>
      </c>
      <c r="B11" s="4">
        <v>1.349134109</v>
      </c>
      <c r="C11" s="48">
        <v>886</v>
      </c>
      <c r="D11" s="49">
        <v>5810</v>
      </c>
      <c r="E11" s="48">
        <v>5</v>
      </c>
      <c r="F11" s="49">
        <v>4454</v>
      </c>
      <c r="G11" s="49">
        <v>71579</v>
      </c>
      <c r="H11" s="49">
        <v>161300</v>
      </c>
      <c r="I11" s="50">
        <v>7950.61</v>
      </c>
      <c r="J11" s="50">
        <v>8576.4599999999991</v>
      </c>
      <c r="K11" s="48">
        <v>5.32</v>
      </c>
    </row>
    <row r="12" spans="1:11" x14ac:dyDescent="0.25">
      <c r="A12" s="47" t="s">
        <v>29</v>
      </c>
      <c r="B12" s="4">
        <v>2.4914065729999999</v>
      </c>
      <c r="C12" s="49">
        <v>1933</v>
      </c>
      <c r="D12" s="49">
        <v>11934</v>
      </c>
      <c r="E12" s="48">
        <v>10</v>
      </c>
      <c r="F12" s="49">
        <v>10621</v>
      </c>
      <c r="G12" s="49">
        <v>216964</v>
      </c>
      <c r="H12" s="49">
        <v>720350</v>
      </c>
      <c r="I12" s="50">
        <v>13400.48</v>
      </c>
      <c r="J12" s="50">
        <v>30075.42</v>
      </c>
      <c r="K12" s="48">
        <v>4.18</v>
      </c>
    </row>
    <row r="13" spans="1:11" x14ac:dyDescent="0.25">
      <c r="A13" s="47" t="s">
        <v>30</v>
      </c>
      <c r="B13" s="4">
        <v>1.3847428420000001</v>
      </c>
      <c r="C13" s="48">
        <v>658</v>
      </c>
      <c r="D13" s="49">
        <v>3842</v>
      </c>
      <c r="E13" s="48">
        <v>3</v>
      </c>
      <c r="F13" s="49">
        <v>3662</v>
      </c>
      <c r="G13" s="49">
        <v>51007</v>
      </c>
      <c r="H13" s="49">
        <v>139760</v>
      </c>
      <c r="I13" s="50">
        <v>8969.02</v>
      </c>
      <c r="J13" s="50">
        <v>7740.76</v>
      </c>
      <c r="K13" s="48">
        <v>5.54</v>
      </c>
    </row>
    <row r="14" spans="1:11" x14ac:dyDescent="0.25">
      <c r="A14" s="47" t="s">
        <v>31</v>
      </c>
      <c r="B14" s="4">
        <v>0.79674363299999995</v>
      </c>
      <c r="C14" s="48">
        <v>174</v>
      </c>
      <c r="D14" s="49">
        <v>1222</v>
      </c>
      <c r="E14" s="48">
        <v>2</v>
      </c>
      <c r="F14" s="48">
        <v>996</v>
      </c>
      <c r="G14" s="49">
        <v>14963</v>
      </c>
      <c r="H14" s="49">
        <v>19110</v>
      </c>
      <c r="I14" s="50">
        <v>7621.5</v>
      </c>
      <c r="J14" s="48">
        <v>80.180000000000007</v>
      </c>
      <c r="K14" s="48">
        <v>0.42</v>
      </c>
    </row>
    <row r="15" spans="1:11" x14ac:dyDescent="0.25">
      <c r="A15" s="47" t="s">
        <v>32</v>
      </c>
      <c r="B15" s="4">
        <v>1.3849137819999999</v>
      </c>
      <c r="C15" s="49">
        <v>1807</v>
      </c>
      <c r="D15" s="49">
        <v>10060</v>
      </c>
      <c r="E15" s="48">
        <v>8</v>
      </c>
      <c r="F15" s="49">
        <v>9660</v>
      </c>
      <c r="G15" s="49">
        <v>124445</v>
      </c>
      <c r="H15" s="49">
        <v>340330</v>
      </c>
      <c r="I15" s="50">
        <v>7773.43</v>
      </c>
      <c r="J15" s="50">
        <v>7599</v>
      </c>
      <c r="K15" s="48">
        <v>2.23</v>
      </c>
    </row>
    <row r="16" spans="1:11" x14ac:dyDescent="0.25">
      <c r="A16" s="47" t="s">
        <v>33</v>
      </c>
      <c r="B16" s="4">
        <v>2.4151678940000001</v>
      </c>
      <c r="C16" s="49">
        <v>4000</v>
      </c>
      <c r="D16" s="49">
        <v>25419</v>
      </c>
      <c r="E16" s="48">
        <v>21</v>
      </c>
      <c r="F16" s="49">
        <v>20763</v>
      </c>
      <c r="G16" s="49">
        <v>287113</v>
      </c>
      <c r="H16" s="49">
        <v>386680</v>
      </c>
      <c r="I16" s="50">
        <v>10244.700000000001</v>
      </c>
      <c r="J16" s="50">
        <v>5348.76</v>
      </c>
      <c r="K16" s="48">
        <v>1.38</v>
      </c>
    </row>
    <row r="17" spans="1:11" x14ac:dyDescent="0.25">
      <c r="A17" s="47" t="s">
        <v>34</v>
      </c>
      <c r="B17" s="4">
        <v>1.032872926</v>
      </c>
      <c r="C17" s="49">
        <v>1249</v>
      </c>
      <c r="D17" s="49">
        <v>7373</v>
      </c>
      <c r="E17" s="48">
        <v>4</v>
      </c>
      <c r="F17" s="49">
        <v>6439</v>
      </c>
      <c r="G17" s="49">
        <v>64058</v>
      </c>
      <c r="H17" s="49">
        <v>162910</v>
      </c>
      <c r="I17" s="50">
        <v>7539.1</v>
      </c>
      <c r="J17" s="50">
        <v>1984.87</v>
      </c>
      <c r="K17" s="48">
        <v>1.22</v>
      </c>
    </row>
    <row r="18" spans="1:11" x14ac:dyDescent="0.25">
      <c r="A18" s="47" t="s">
        <v>36</v>
      </c>
      <c r="B18" s="4">
        <v>1.3679907650000001</v>
      </c>
      <c r="C18" s="48">
        <v>465</v>
      </c>
      <c r="D18" s="49">
        <v>2566</v>
      </c>
      <c r="E18" s="48">
        <v>4</v>
      </c>
      <c r="F18" s="49">
        <v>1995</v>
      </c>
      <c r="G18" s="49">
        <v>18399</v>
      </c>
      <c r="H18" s="49">
        <v>64940</v>
      </c>
      <c r="I18" s="50">
        <v>10472.06</v>
      </c>
      <c r="J18" s="50">
        <v>1302.8900000000001</v>
      </c>
      <c r="K18" s="48">
        <v>2.0099999999999998</v>
      </c>
    </row>
    <row r="19" spans="1:11" x14ac:dyDescent="0.25">
      <c r="A19" s="47" t="s">
        <v>37</v>
      </c>
      <c r="B19" s="4">
        <v>0.58173586600000005</v>
      </c>
      <c r="C19" s="48">
        <v>113</v>
      </c>
      <c r="D19" s="49">
        <v>1109</v>
      </c>
      <c r="E19" s="48">
        <v>2</v>
      </c>
      <c r="F19" s="48">
        <v>946</v>
      </c>
      <c r="G19" s="49">
        <v>26757</v>
      </c>
      <c r="H19" s="49">
        <v>17880</v>
      </c>
      <c r="I19" s="50">
        <v>5546.17</v>
      </c>
      <c r="J19" s="48">
        <v>259.67</v>
      </c>
      <c r="K19" s="48">
        <v>1.45</v>
      </c>
    </row>
    <row r="20" spans="1:11" x14ac:dyDescent="0.25">
      <c r="A20" s="47" t="s">
        <v>38</v>
      </c>
      <c r="B20" s="4">
        <v>2.7050068839999999</v>
      </c>
      <c r="C20" s="49">
        <v>4203</v>
      </c>
      <c r="D20" s="49">
        <v>25847</v>
      </c>
      <c r="E20" s="48">
        <v>8</v>
      </c>
      <c r="F20" s="49">
        <v>23398</v>
      </c>
      <c r="G20" s="49">
        <v>846620</v>
      </c>
      <c r="H20" s="49">
        <v>1567300</v>
      </c>
      <c r="I20" s="50">
        <v>10470.540000000001</v>
      </c>
      <c r="J20" s="50">
        <v>68967.89</v>
      </c>
      <c r="K20" s="48">
        <v>4.4000000000000004</v>
      </c>
    </row>
    <row r="21" spans="1:11" x14ac:dyDescent="0.25">
      <c r="A21" s="47" t="s">
        <v>39</v>
      </c>
      <c r="B21" s="4">
        <v>1.0068892730000001</v>
      </c>
      <c r="C21" s="48">
        <v>738</v>
      </c>
      <c r="D21" s="49">
        <v>3985</v>
      </c>
      <c r="E21" s="48">
        <v>2</v>
      </c>
      <c r="F21" s="49">
        <v>3648</v>
      </c>
      <c r="G21" s="49">
        <v>79876</v>
      </c>
      <c r="H21" s="49">
        <v>218430</v>
      </c>
      <c r="I21" s="50">
        <v>7147.32</v>
      </c>
      <c r="J21" s="50">
        <v>7262.74</v>
      </c>
      <c r="K21" s="48">
        <v>3.32</v>
      </c>
    </row>
    <row r="22" spans="1:11" x14ac:dyDescent="0.25">
      <c r="A22" s="47" t="s">
        <v>40</v>
      </c>
      <c r="B22" s="4">
        <v>0.92088938200000003</v>
      </c>
      <c r="C22" s="48">
        <v>897</v>
      </c>
      <c r="D22" s="49">
        <v>5238</v>
      </c>
      <c r="E22" s="48">
        <v>3</v>
      </c>
      <c r="F22" s="49">
        <v>4083</v>
      </c>
      <c r="G22" s="49">
        <v>50843</v>
      </c>
      <c r="H22" s="49">
        <v>117150</v>
      </c>
      <c r="I22" s="50">
        <v>7847.95</v>
      </c>
      <c r="J22" s="48">
        <v>15.98</v>
      </c>
      <c r="K22" s="48">
        <v>0.01</v>
      </c>
    </row>
    <row r="23" spans="1:11" x14ac:dyDescent="0.25">
      <c r="A23" s="47" t="s">
        <v>41</v>
      </c>
      <c r="B23" s="4">
        <v>1.041431864</v>
      </c>
      <c r="C23" s="48">
        <v>183</v>
      </c>
      <c r="D23" s="49">
        <v>1273</v>
      </c>
      <c r="E23" s="48">
        <v>1</v>
      </c>
      <c r="F23" s="48">
        <v>952</v>
      </c>
      <c r="G23" s="49">
        <v>22860</v>
      </c>
      <c r="H23" s="49">
        <v>20760</v>
      </c>
      <c r="I23" s="50">
        <v>7492.73</v>
      </c>
      <c r="J23" s="50">
        <v>1209.6300000000001</v>
      </c>
      <c r="K23" s="48">
        <v>5.83</v>
      </c>
    </row>
    <row r="24" spans="1:11" x14ac:dyDescent="0.25">
      <c r="A24" s="47" t="s">
        <v>42</v>
      </c>
      <c r="B24" s="4">
        <v>1.3816565279999999</v>
      </c>
      <c r="C24" s="48">
        <v>796</v>
      </c>
      <c r="D24" s="49">
        <v>5148</v>
      </c>
      <c r="E24" s="48">
        <v>6</v>
      </c>
      <c r="F24" s="49">
        <v>4342</v>
      </c>
      <c r="G24" s="49">
        <v>163159</v>
      </c>
      <c r="H24" s="49">
        <v>288540</v>
      </c>
      <c r="I24" s="50">
        <v>9402.4</v>
      </c>
      <c r="J24" s="50">
        <v>3242.63</v>
      </c>
      <c r="K24" s="48">
        <v>1.1200000000000001</v>
      </c>
    </row>
    <row r="25" spans="1:11" x14ac:dyDescent="0.25">
      <c r="A25" s="47" t="s">
        <v>43</v>
      </c>
      <c r="B25" s="4">
        <v>7.6061945030000002</v>
      </c>
      <c r="C25" s="49">
        <v>29720</v>
      </c>
      <c r="D25" s="49">
        <v>187007</v>
      </c>
      <c r="E25" s="48">
        <v>22</v>
      </c>
      <c r="F25" s="49">
        <v>150522</v>
      </c>
      <c r="G25" s="49">
        <v>2411714</v>
      </c>
      <c r="H25" s="49">
        <v>6138080</v>
      </c>
      <c r="I25" s="50">
        <v>12824.69</v>
      </c>
      <c r="J25" s="50">
        <v>317675.27</v>
      </c>
      <c r="K25" s="48">
        <v>5.18</v>
      </c>
    </row>
    <row r="26" spans="1:11" x14ac:dyDescent="0.25">
      <c r="A26" s="47" t="s">
        <v>44</v>
      </c>
      <c r="B26" s="4">
        <v>0.68370759299999995</v>
      </c>
      <c r="C26" s="48">
        <v>895</v>
      </c>
      <c r="D26" s="49">
        <v>5556</v>
      </c>
      <c r="E26" s="48">
        <v>4</v>
      </c>
      <c r="F26" s="49">
        <v>4295</v>
      </c>
      <c r="G26" s="49">
        <v>73687</v>
      </c>
      <c r="H26" s="49">
        <v>190350</v>
      </c>
      <c r="I26" s="50">
        <v>7443.5</v>
      </c>
      <c r="J26" s="50">
        <v>-7644</v>
      </c>
      <c r="K26" s="48">
        <v>-4.0199999999999996</v>
      </c>
    </row>
    <row r="27" spans="1:11" x14ac:dyDescent="0.25">
      <c r="A27" s="47" t="s">
        <v>45</v>
      </c>
      <c r="B27" s="4">
        <v>1.694092693</v>
      </c>
      <c r="C27" s="49">
        <v>1579</v>
      </c>
      <c r="D27" s="49">
        <v>10605</v>
      </c>
      <c r="E27" s="48">
        <v>5</v>
      </c>
      <c r="F27" s="49">
        <v>8624</v>
      </c>
      <c r="G27" s="49">
        <v>375660</v>
      </c>
      <c r="H27" s="49">
        <v>559240</v>
      </c>
      <c r="I27" s="50">
        <v>9602.2999999999993</v>
      </c>
      <c r="J27" s="50">
        <v>16439.560000000001</v>
      </c>
      <c r="K27" s="48">
        <v>2.94</v>
      </c>
    </row>
    <row r="28" spans="1:11" x14ac:dyDescent="0.25">
      <c r="A28" s="47" t="s">
        <v>46</v>
      </c>
      <c r="B28" s="4">
        <v>2.2519744340000001</v>
      </c>
      <c r="C28" s="49">
        <v>3294</v>
      </c>
      <c r="D28" s="49">
        <v>20730</v>
      </c>
      <c r="E28" s="48">
        <v>10</v>
      </c>
      <c r="F28" s="49">
        <v>17340</v>
      </c>
      <c r="G28" s="49">
        <v>529118</v>
      </c>
      <c r="H28" s="49">
        <v>1263180</v>
      </c>
      <c r="I28" s="50">
        <v>11674.39</v>
      </c>
      <c r="J28" s="50">
        <v>2305.92</v>
      </c>
      <c r="K28" s="48">
        <v>0.18</v>
      </c>
    </row>
    <row r="29" spans="1:11" x14ac:dyDescent="0.25">
      <c r="A29" s="47" t="s">
        <v>47</v>
      </c>
      <c r="B29" s="4">
        <v>1.0909224909999999</v>
      </c>
      <c r="C29" s="48">
        <v>562</v>
      </c>
      <c r="D29" s="49">
        <v>2532</v>
      </c>
      <c r="E29" s="48">
        <v>3</v>
      </c>
      <c r="F29" s="49">
        <v>2157</v>
      </c>
      <c r="G29" s="49">
        <v>48888</v>
      </c>
      <c r="H29" s="49">
        <v>99590</v>
      </c>
      <c r="I29" s="50">
        <v>7705.94</v>
      </c>
      <c r="J29" s="50">
        <v>3821.96</v>
      </c>
      <c r="K29" s="48">
        <v>3.84</v>
      </c>
    </row>
    <row r="30" spans="1:11" x14ac:dyDescent="0.25">
      <c r="A30" s="47" t="s">
        <v>48</v>
      </c>
      <c r="B30" s="4">
        <v>0.90128857900000003</v>
      </c>
      <c r="C30" s="48">
        <v>490</v>
      </c>
      <c r="D30" s="49">
        <v>2892</v>
      </c>
      <c r="E30" s="48">
        <v>3</v>
      </c>
      <c r="F30" s="49">
        <v>2091</v>
      </c>
      <c r="G30" s="49">
        <v>57937</v>
      </c>
      <c r="H30" s="49">
        <v>75870</v>
      </c>
      <c r="I30" s="50">
        <v>7583.93</v>
      </c>
      <c r="J30" s="48">
        <v>648.1</v>
      </c>
      <c r="K30" s="48">
        <v>0.85</v>
      </c>
    </row>
    <row r="31" spans="1:11" x14ac:dyDescent="0.25">
      <c r="A31" s="47" t="s">
        <v>49</v>
      </c>
      <c r="B31" s="4">
        <v>2.1507876530000001</v>
      </c>
      <c r="C31" s="49">
        <v>1364</v>
      </c>
      <c r="D31" s="49">
        <v>8968</v>
      </c>
      <c r="E31" s="48">
        <v>7</v>
      </c>
      <c r="F31" s="49">
        <v>7100</v>
      </c>
      <c r="G31" s="49">
        <v>244955</v>
      </c>
      <c r="H31" s="49">
        <v>603060</v>
      </c>
      <c r="I31" s="50">
        <v>10985.37</v>
      </c>
      <c r="J31" s="50">
        <v>38340.28</v>
      </c>
      <c r="K31" s="48">
        <v>6.36</v>
      </c>
    </row>
    <row r="32" spans="1:11" x14ac:dyDescent="0.25">
      <c r="A32" s="47" t="s">
        <v>50</v>
      </c>
      <c r="B32" s="4">
        <v>1.7288631720000001</v>
      </c>
      <c r="C32" s="49">
        <v>1982</v>
      </c>
      <c r="D32" s="49">
        <v>11198</v>
      </c>
      <c r="E32" s="48">
        <v>9</v>
      </c>
      <c r="F32" s="49">
        <v>9365</v>
      </c>
      <c r="G32" s="49">
        <v>144640</v>
      </c>
      <c r="H32" s="49">
        <v>203690</v>
      </c>
      <c r="I32" s="50">
        <v>9946.84</v>
      </c>
      <c r="J32" s="50">
        <v>5589.99</v>
      </c>
      <c r="K32" s="48">
        <v>2.74</v>
      </c>
    </row>
    <row r="33" spans="1:11" x14ac:dyDescent="0.25">
      <c r="A33" s="47" t="s">
        <v>51</v>
      </c>
      <c r="B33" s="4">
        <v>1.47207014</v>
      </c>
      <c r="C33" s="49">
        <v>1892</v>
      </c>
      <c r="D33" s="49">
        <v>8637</v>
      </c>
      <c r="E33" s="48">
        <v>5</v>
      </c>
      <c r="F33" s="49">
        <v>7619</v>
      </c>
      <c r="G33" s="49">
        <v>94498</v>
      </c>
      <c r="H33" s="49">
        <v>168680</v>
      </c>
      <c r="I33" s="50">
        <v>8069.25</v>
      </c>
      <c r="J33" s="50">
        <v>10204.719999999999</v>
      </c>
      <c r="K33" s="48">
        <v>6.05</v>
      </c>
    </row>
    <row r="34" spans="1:11" x14ac:dyDescent="0.25">
      <c r="A34" s="47" t="s">
        <v>52</v>
      </c>
      <c r="B34" s="4">
        <v>1.000721032</v>
      </c>
      <c r="C34" s="48">
        <v>336</v>
      </c>
      <c r="D34" s="49">
        <v>2051</v>
      </c>
      <c r="E34" s="48">
        <v>4</v>
      </c>
      <c r="F34" s="49">
        <v>1608</v>
      </c>
      <c r="G34" s="49">
        <v>26409</v>
      </c>
      <c r="H34" s="49">
        <v>45440</v>
      </c>
      <c r="I34" s="50">
        <v>7749.57</v>
      </c>
      <c r="J34" s="48">
        <v>912.36</v>
      </c>
      <c r="K34" s="48">
        <v>2.0099999999999998</v>
      </c>
    </row>
    <row r="35" spans="1:11" x14ac:dyDescent="0.25">
      <c r="A35" s="47" t="s">
        <v>53</v>
      </c>
      <c r="B35" s="4">
        <v>0.86076432000000003</v>
      </c>
      <c r="C35" s="48">
        <v>194</v>
      </c>
      <c r="D35" s="49">
        <v>1212</v>
      </c>
      <c r="E35" s="48">
        <v>3</v>
      </c>
      <c r="F35" s="48">
        <v>888</v>
      </c>
      <c r="G35" s="49">
        <v>9948</v>
      </c>
      <c r="H35" s="49">
        <v>14840</v>
      </c>
      <c r="I35" s="50">
        <v>7177.69</v>
      </c>
      <c r="J35" s="48">
        <v>294.42</v>
      </c>
      <c r="K35" s="48">
        <v>1.98</v>
      </c>
    </row>
    <row r="36" spans="1:11" x14ac:dyDescent="0.25">
      <c r="A36" s="47" t="s">
        <v>54</v>
      </c>
      <c r="B36" s="4">
        <v>0.79287091399999998</v>
      </c>
      <c r="C36" s="48">
        <v>463</v>
      </c>
      <c r="D36" s="49">
        <v>2347</v>
      </c>
      <c r="E36" s="48">
        <v>3</v>
      </c>
      <c r="F36" s="49">
        <v>1936</v>
      </c>
      <c r="G36" s="49">
        <v>19954</v>
      </c>
      <c r="H36" s="49">
        <v>54590</v>
      </c>
      <c r="I36" s="50">
        <v>7567.1</v>
      </c>
      <c r="J36" s="48">
        <v>-352.17</v>
      </c>
      <c r="K36" s="48">
        <v>-0.65</v>
      </c>
    </row>
    <row r="37" spans="1:11" x14ac:dyDescent="0.25">
      <c r="A37" s="47" t="s">
        <v>55</v>
      </c>
      <c r="B37" s="4">
        <v>2.0565892990000001</v>
      </c>
      <c r="C37" s="48">
        <v>655</v>
      </c>
      <c r="D37" s="49">
        <v>3230</v>
      </c>
      <c r="E37" s="48">
        <v>4</v>
      </c>
      <c r="F37" s="49">
        <v>2539</v>
      </c>
      <c r="G37" s="49">
        <v>40567</v>
      </c>
      <c r="H37" s="49">
        <v>94350</v>
      </c>
      <c r="I37" s="50">
        <v>10695.27</v>
      </c>
      <c r="J37" s="50">
        <v>12300.63</v>
      </c>
      <c r="K37" s="48">
        <v>13.04</v>
      </c>
    </row>
    <row r="38" spans="1:11" x14ac:dyDescent="0.25">
      <c r="A38" s="47" t="s">
        <v>56</v>
      </c>
      <c r="B38" s="4">
        <v>1.443190153</v>
      </c>
      <c r="C38" s="49">
        <v>1523</v>
      </c>
      <c r="D38" s="49">
        <v>7686</v>
      </c>
      <c r="E38" s="48">
        <v>6</v>
      </c>
      <c r="F38" s="49">
        <v>5925</v>
      </c>
      <c r="G38" s="49">
        <v>70399</v>
      </c>
      <c r="H38" s="49">
        <v>136360</v>
      </c>
      <c r="I38" s="50">
        <v>9072.5</v>
      </c>
      <c r="J38" s="50">
        <v>4573.8999999999996</v>
      </c>
      <c r="K38" s="48">
        <v>3.35</v>
      </c>
    </row>
    <row r="39" spans="1:11" x14ac:dyDescent="0.25">
      <c r="A39" s="47" t="s">
        <v>57</v>
      </c>
      <c r="B39" s="4">
        <v>1.7947393380000001</v>
      </c>
      <c r="C39" s="49">
        <v>1763</v>
      </c>
      <c r="D39" s="49">
        <v>11493</v>
      </c>
      <c r="E39" s="48">
        <v>7</v>
      </c>
      <c r="F39" s="49">
        <v>9582</v>
      </c>
      <c r="G39" s="49">
        <v>334094</v>
      </c>
      <c r="H39" s="49">
        <v>627570</v>
      </c>
      <c r="I39" s="50">
        <v>9962.81</v>
      </c>
      <c r="J39" s="50">
        <v>15171.52</v>
      </c>
      <c r="K39" s="48">
        <v>2.42</v>
      </c>
    </row>
    <row r="40" spans="1:11" x14ac:dyDescent="0.25">
      <c r="A40" s="47" t="s">
        <v>58</v>
      </c>
      <c r="B40" s="4">
        <v>1.0839977789999999</v>
      </c>
      <c r="C40" s="49">
        <v>1088</v>
      </c>
      <c r="D40" s="49">
        <v>6848</v>
      </c>
      <c r="E40" s="48">
        <v>4</v>
      </c>
      <c r="F40" s="49">
        <v>5996</v>
      </c>
      <c r="G40" s="49">
        <v>211018</v>
      </c>
      <c r="H40" s="49">
        <v>193320</v>
      </c>
      <c r="I40" s="50">
        <v>7544.51</v>
      </c>
      <c r="J40" s="50">
        <v>2239.4899999999998</v>
      </c>
      <c r="K40" s="48">
        <v>1.1599999999999999</v>
      </c>
    </row>
    <row r="41" spans="1:11" x14ac:dyDescent="0.25">
      <c r="A41" s="47" t="s">
        <v>59</v>
      </c>
      <c r="B41" s="4">
        <v>1.2975106359999999</v>
      </c>
      <c r="C41" s="49">
        <v>2143</v>
      </c>
      <c r="D41" s="49">
        <v>13154</v>
      </c>
      <c r="E41" s="48">
        <v>4</v>
      </c>
      <c r="F41" s="49">
        <v>11013</v>
      </c>
      <c r="G41" s="49">
        <v>222257</v>
      </c>
      <c r="H41" s="49">
        <v>314930</v>
      </c>
      <c r="I41" s="50">
        <v>7867.65</v>
      </c>
      <c r="J41" s="50">
        <v>6952.91</v>
      </c>
      <c r="K41" s="48">
        <v>2.21</v>
      </c>
    </row>
    <row r="42" spans="1:11" x14ac:dyDescent="0.25">
      <c r="A42" s="47" t="s">
        <v>60</v>
      </c>
      <c r="B42" s="4">
        <v>1.332069341</v>
      </c>
      <c r="C42" s="48">
        <v>781</v>
      </c>
      <c r="D42" s="49">
        <v>5162</v>
      </c>
      <c r="E42" s="48">
        <v>5</v>
      </c>
      <c r="F42" s="49">
        <v>4156</v>
      </c>
      <c r="G42" s="49">
        <v>152521</v>
      </c>
      <c r="H42" s="49">
        <v>373470</v>
      </c>
      <c r="I42" s="50">
        <v>8475.6</v>
      </c>
      <c r="J42" s="50">
        <v>9934.9500000000007</v>
      </c>
      <c r="K42" s="48">
        <v>2.66</v>
      </c>
    </row>
    <row r="43" spans="1:11" x14ac:dyDescent="0.25">
      <c r="A43" s="47" t="s">
        <v>61</v>
      </c>
      <c r="B43" s="4">
        <v>1.2032349659999999</v>
      </c>
      <c r="C43" s="48">
        <v>510</v>
      </c>
      <c r="D43" s="49">
        <v>2981</v>
      </c>
      <c r="E43" s="48">
        <v>5</v>
      </c>
      <c r="F43" s="49">
        <v>2476</v>
      </c>
      <c r="G43" s="49">
        <v>31015</v>
      </c>
      <c r="H43" s="49">
        <v>43620</v>
      </c>
      <c r="I43" s="50">
        <v>8201.6</v>
      </c>
      <c r="J43" s="50">
        <v>1576.47</v>
      </c>
      <c r="K43" s="48">
        <v>3.61</v>
      </c>
    </row>
    <row r="44" spans="1:11" x14ac:dyDescent="0.25">
      <c r="A44" s="47" t="s">
        <v>62</v>
      </c>
      <c r="B44" s="4">
        <v>1.111415753</v>
      </c>
      <c r="C44" s="49">
        <v>1008</v>
      </c>
      <c r="D44" s="49">
        <v>6103</v>
      </c>
      <c r="E44" s="48">
        <v>4</v>
      </c>
      <c r="F44" s="49">
        <v>5114</v>
      </c>
      <c r="G44" s="49">
        <v>168724</v>
      </c>
      <c r="H44" s="49">
        <v>206710</v>
      </c>
      <c r="I44" s="50">
        <v>8655</v>
      </c>
      <c r="J44" s="48">
        <v>-820.71</v>
      </c>
      <c r="K44" s="48">
        <v>-0.4</v>
      </c>
    </row>
    <row r="45" spans="1:11" x14ac:dyDescent="0.25">
      <c r="A45" s="47" t="s">
        <v>63</v>
      </c>
      <c r="B45" s="4">
        <v>0.87316002699999995</v>
      </c>
      <c r="C45" s="48">
        <v>561</v>
      </c>
      <c r="D45" s="49">
        <v>3304</v>
      </c>
      <c r="E45" s="48">
        <v>4</v>
      </c>
      <c r="F45" s="49">
        <v>2608</v>
      </c>
      <c r="G45" s="49">
        <v>43894</v>
      </c>
      <c r="H45" s="49">
        <v>58120</v>
      </c>
      <c r="I45" s="50">
        <v>6844.47</v>
      </c>
      <c r="J45" s="48">
        <v>824.94</v>
      </c>
      <c r="K45" s="48">
        <v>1.42</v>
      </c>
    </row>
    <row r="46" spans="1:11" x14ac:dyDescent="0.25">
      <c r="A46" s="47" t="s">
        <v>64</v>
      </c>
      <c r="B46" s="4">
        <v>0.88729461399999998</v>
      </c>
      <c r="C46" s="48">
        <v>706</v>
      </c>
      <c r="D46" s="49">
        <v>5029</v>
      </c>
      <c r="E46" s="48">
        <v>6</v>
      </c>
      <c r="F46" s="49">
        <v>4039</v>
      </c>
      <c r="G46" s="49">
        <v>44583</v>
      </c>
      <c r="H46" s="49">
        <v>84130</v>
      </c>
      <c r="I46" s="50">
        <v>7064.76</v>
      </c>
      <c r="J46" s="48">
        <v>-527.85</v>
      </c>
      <c r="K46" s="48">
        <v>-0.63</v>
      </c>
    </row>
    <row r="47" spans="1:11" x14ac:dyDescent="0.25">
      <c r="A47" s="47" t="s">
        <v>65</v>
      </c>
      <c r="B47" s="4">
        <v>1.6107839100000001</v>
      </c>
      <c r="C47" s="49">
        <v>1245</v>
      </c>
      <c r="D47" s="49">
        <v>8257</v>
      </c>
      <c r="E47" s="48">
        <v>5</v>
      </c>
      <c r="F47" s="49">
        <v>7171</v>
      </c>
      <c r="G47" s="49">
        <v>177965</v>
      </c>
      <c r="H47" s="49">
        <v>302810</v>
      </c>
      <c r="I47" s="50">
        <v>8562.14</v>
      </c>
      <c r="J47" s="50">
        <v>19044.37</v>
      </c>
      <c r="K47" s="48">
        <v>6.29</v>
      </c>
    </row>
    <row r="48" spans="1:11" x14ac:dyDescent="0.25">
      <c r="A48" s="47" t="s">
        <v>66</v>
      </c>
      <c r="B48" s="4">
        <v>1.6512774640000001</v>
      </c>
      <c r="C48" s="48">
        <v>735</v>
      </c>
      <c r="D48" s="49">
        <v>5543</v>
      </c>
      <c r="E48" s="48">
        <v>4</v>
      </c>
      <c r="F48" s="49">
        <v>4763</v>
      </c>
      <c r="G48" s="49">
        <v>99091</v>
      </c>
      <c r="H48" s="49">
        <v>377440</v>
      </c>
      <c r="I48" s="50">
        <v>9222.4</v>
      </c>
      <c r="J48" s="50">
        <v>25627.119999999999</v>
      </c>
      <c r="K48" s="48">
        <v>6.79</v>
      </c>
    </row>
    <row r="49" spans="1:11" x14ac:dyDescent="0.25">
      <c r="A49" s="47" t="s">
        <v>67</v>
      </c>
      <c r="B49" s="4">
        <v>2.067339483</v>
      </c>
      <c r="C49" s="49">
        <v>1643</v>
      </c>
      <c r="D49" s="49">
        <v>9908</v>
      </c>
      <c r="E49" s="48">
        <v>7</v>
      </c>
      <c r="F49" s="49">
        <v>8183</v>
      </c>
      <c r="G49" s="49">
        <v>239069</v>
      </c>
      <c r="H49" s="49">
        <v>690800</v>
      </c>
      <c r="I49" s="50">
        <v>12469.29</v>
      </c>
      <c r="J49" s="50">
        <v>15069.72</v>
      </c>
      <c r="K49" s="48">
        <v>2.1800000000000002</v>
      </c>
    </row>
    <row r="50" spans="1:11" x14ac:dyDescent="0.25">
      <c r="A50" s="47" t="s">
        <v>68</v>
      </c>
      <c r="B50" s="4">
        <v>0.90934649300000003</v>
      </c>
      <c r="C50" s="48">
        <v>492</v>
      </c>
      <c r="D50" s="49">
        <v>3273</v>
      </c>
      <c r="E50" s="48">
        <v>5</v>
      </c>
      <c r="F50" s="49">
        <v>2749</v>
      </c>
      <c r="G50" s="49">
        <v>29758</v>
      </c>
      <c r="H50" s="49">
        <v>52800</v>
      </c>
      <c r="I50" s="50">
        <v>6896.59</v>
      </c>
      <c r="J50" s="48">
        <v>722.56</v>
      </c>
      <c r="K50" s="48">
        <v>1.37</v>
      </c>
    </row>
    <row r="51" spans="1:11" x14ac:dyDescent="0.25">
      <c r="A51" s="47" t="s">
        <v>69</v>
      </c>
      <c r="B51" s="4">
        <v>0.74818952999999999</v>
      </c>
      <c r="C51" s="48">
        <v>450</v>
      </c>
      <c r="D51" s="49">
        <v>2895</v>
      </c>
      <c r="E51" s="48">
        <v>2</v>
      </c>
      <c r="F51" s="49">
        <v>2724</v>
      </c>
      <c r="G51" s="49">
        <v>47249</v>
      </c>
      <c r="H51" s="49">
        <v>116740</v>
      </c>
      <c r="I51" s="50">
        <v>5998.51</v>
      </c>
      <c r="J51" s="50">
        <v>2811.35</v>
      </c>
      <c r="K51" s="48">
        <v>2.41</v>
      </c>
    </row>
    <row r="52" spans="1:11" x14ac:dyDescent="0.25">
      <c r="A52" s="47" t="s">
        <v>70</v>
      </c>
      <c r="B52" s="4">
        <v>0.92515928800000002</v>
      </c>
      <c r="C52" s="48">
        <v>257</v>
      </c>
      <c r="D52" s="49">
        <v>2132</v>
      </c>
      <c r="E52" s="48">
        <v>2</v>
      </c>
      <c r="F52" s="49">
        <v>1752</v>
      </c>
      <c r="G52" s="49">
        <v>19593</v>
      </c>
      <c r="H52" s="49">
        <v>43920</v>
      </c>
      <c r="I52" s="50">
        <v>6829.87</v>
      </c>
      <c r="J52" s="50">
        <v>1896.42</v>
      </c>
      <c r="K52" s="48">
        <v>4.32</v>
      </c>
    </row>
    <row r="53" spans="1:11" x14ac:dyDescent="0.25">
      <c r="A53" s="47" t="s">
        <v>71</v>
      </c>
      <c r="B53" s="4">
        <v>1.7907570209999999</v>
      </c>
      <c r="C53" s="48">
        <v>816</v>
      </c>
      <c r="D53" s="49">
        <v>4930</v>
      </c>
      <c r="E53" s="48">
        <v>4</v>
      </c>
      <c r="F53" s="49">
        <v>4243</v>
      </c>
      <c r="G53" s="49">
        <v>200363</v>
      </c>
      <c r="H53" s="49">
        <v>362720</v>
      </c>
      <c r="I53" s="50">
        <v>10611.02</v>
      </c>
      <c r="J53" s="50">
        <v>20565.810000000001</v>
      </c>
      <c r="K53" s="48">
        <v>5.67</v>
      </c>
    </row>
    <row r="54" spans="1:11" x14ac:dyDescent="0.25">
      <c r="A54" s="47" t="s">
        <v>72</v>
      </c>
      <c r="B54" s="4">
        <v>0.86862199799999995</v>
      </c>
      <c r="C54" s="49">
        <v>1130</v>
      </c>
      <c r="D54" s="49">
        <v>5933</v>
      </c>
      <c r="E54" s="48">
        <v>3</v>
      </c>
      <c r="F54" s="49">
        <v>5195</v>
      </c>
      <c r="G54" s="49">
        <v>199896</v>
      </c>
      <c r="H54" s="49">
        <v>200410</v>
      </c>
      <c r="I54" s="50">
        <v>7490.76</v>
      </c>
      <c r="J54" s="50">
        <v>-2887.54</v>
      </c>
      <c r="K54" s="48">
        <v>-1.44</v>
      </c>
    </row>
    <row r="55" spans="1:11" x14ac:dyDescent="0.25">
      <c r="A55" s="47" t="s">
        <v>73</v>
      </c>
      <c r="B55" s="4">
        <v>2.0651438099999999</v>
      </c>
      <c r="C55" s="48">
        <v>955</v>
      </c>
      <c r="D55" s="49">
        <v>5437</v>
      </c>
      <c r="E55" s="48">
        <v>4</v>
      </c>
      <c r="F55" s="49">
        <v>4582</v>
      </c>
      <c r="G55" s="49">
        <v>191450</v>
      </c>
      <c r="H55" s="49">
        <v>1007480</v>
      </c>
      <c r="I55" s="50">
        <v>11066.28</v>
      </c>
      <c r="J55" s="50">
        <v>57095.08</v>
      </c>
      <c r="K55" s="48">
        <v>5.67</v>
      </c>
    </row>
    <row r="56" spans="1:11" x14ac:dyDescent="0.25">
      <c r="A56" s="47" t="s">
        <v>74</v>
      </c>
      <c r="B56" s="4">
        <v>1.0985379980000001</v>
      </c>
      <c r="C56" s="49">
        <v>3852</v>
      </c>
      <c r="D56" s="49">
        <v>15494</v>
      </c>
      <c r="E56" s="48">
        <v>4</v>
      </c>
      <c r="F56" s="49">
        <v>13185</v>
      </c>
      <c r="G56" s="49">
        <v>362082</v>
      </c>
      <c r="H56" s="49">
        <v>520860</v>
      </c>
      <c r="I56" s="50">
        <v>7637.65</v>
      </c>
      <c r="J56" s="50">
        <v>-12330.2</v>
      </c>
      <c r="K56" s="48">
        <v>-2.37</v>
      </c>
    </row>
    <row r="57" spans="1:11" x14ac:dyDescent="0.25">
      <c r="A57" s="47" t="s">
        <v>75</v>
      </c>
      <c r="B57" s="4">
        <v>1.3011587250000001</v>
      </c>
      <c r="C57" s="48">
        <v>935</v>
      </c>
      <c r="D57" s="49">
        <v>5530</v>
      </c>
      <c r="E57" s="48">
        <v>3</v>
      </c>
      <c r="F57" s="49">
        <v>4848</v>
      </c>
      <c r="G57" s="49">
        <v>178525</v>
      </c>
      <c r="H57" s="49">
        <v>222790</v>
      </c>
      <c r="I57" s="50">
        <v>8868.84</v>
      </c>
      <c r="J57" s="50">
        <v>6352.83</v>
      </c>
      <c r="K57" s="48">
        <v>2.85</v>
      </c>
    </row>
    <row r="58" spans="1:11" x14ac:dyDescent="0.25">
      <c r="A58" s="47" t="s">
        <v>76</v>
      </c>
      <c r="B58" s="4">
        <v>9.4388288800000009</v>
      </c>
      <c r="C58" s="49">
        <v>45425</v>
      </c>
      <c r="D58" s="49">
        <v>274067</v>
      </c>
      <c r="E58" s="48">
        <v>29</v>
      </c>
      <c r="F58" s="49">
        <v>219090</v>
      </c>
      <c r="G58" s="49">
        <v>2872436</v>
      </c>
      <c r="H58" s="49">
        <v>8121200</v>
      </c>
      <c r="I58" s="50">
        <v>13968.25</v>
      </c>
      <c r="J58" s="50">
        <v>301545.32</v>
      </c>
      <c r="K58" s="48">
        <v>3.71</v>
      </c>
    </row>
    <row r="59" spans="1:11" x14ac:dyDescent="0.25">
      <c r="A59" s="47" t="s">
        <v>77</v>
      </c>
      <c r="B59" s="4">
        <v>1.1466328939999999</v>
      </c>
      <c r="C59" s="48">
        <v>519</v>
      </c>
      <c r="D59" s="49">
        <v>2627</v>
      </c>
      <c r="E59" s="48">
        <v>3</v>
      </c>
      <c r="F59" s="49">
        <v>2189</v>
      </c>
      <c r="G59" s="49">
        <v>48373</v>
      </c>
      <c r="H59" s="49">
        <v>84050</v>
      </c>
      <c r="I59" s="50">
        <v>7237.37</v>
      </c>
      <c r="J59" s="50">
        <v>5026.4399999999996</v>
      </c>
      <c r="K59" s="48">
        <v>5.98</v>
      </c>
    </row>
    <row r="60" spans="1:11" x14ac:dyDescent="0.25">
      <c r="A60" s="47" t="s">
        <v>78</v>
      </c>
      <c r="B60" s="4">
        <v>1.0457213809999999</v>
      </c>
      <c r="C60" s="48">
        <v>835</v>
      </c>
      <c r="D60" s="49">
        <v>5136</v>
      </c>
      <c r="E60" s="48">
        <v>4</v>
      </c>
      <c r="F60" s="49">
        <v>4485</v>
      </c>
      <c r="G60" s="49">
        <v>98198</v>
      </c>
      <c r="H60" s="49">
        <v>114710</v>
      </c>
      <c r="I60" s="50">
        <v>7544.37</v>
      </c>
      <c r="J60" s="50">
        <v>2118.9299999999998</v>
      </c>
      <c r="K60" s="48">
        <v>1.85</v>
      </c>
    </row>
    <row r="61" spans="1:11" x14ac:dyDescent="0.25">
      <c r="A61" s="47" t="s">
        <v>79</v>
      </c>
      <c r="B61" s="4">
        <v>0.71257471100000003</v>
      </c>
      <c r="C61" s="48">
        <v>297</v>
      </c>
      <c r="D61" s="49">
        <v>1755</v>
      </c>
      <c r="E61" s="48">
        <v>2</v>
      </c>
      <c r="F61" s="49">
        <v>1394</v>
      </c>
      <c r="G61" s="49">
        <v>39297</v>
      </c>
      <c r="H61" s="49">
        <v>39180</v>
      </c>
      <c r="I61" s="50">
        <v>6956.74</v>
      </c>
      <c r="J61" s="48">
        <v>51.65</v>
      </c>
      <c r="K61" s="48">
        <v>0.13</v>
      </c>
    </row>
    <row r="62" spans="1:11" x14ac:dyDescent="0.25">
      <c r="A62" s="47" t="s">
        <v>80</v>
      </c>
      <c r="B62" s="4">
        <v>1.1660936909999999</v>
      </c>
      <c r="C62" s="48">
        <v>438</v>
      </c>
      <c r="D62" s="49">
        <v>2877</v>
      </c>
      <c r="E62" s="48">
        <v>3</v>
      </c>
      <c r="F62" s="49">
        <v>2509</v>
      </c>
      <c r="G62" s="49">
        <v>80660</v>
      </c>
      <c r="H62" s="49">
        <v>106850</v>
      </c>
      <c r="I62" s="50">
        <v>8711.0300000000007</v>
      </c>
      <c r="J62" s="50">
        <v>2779.58</v>
      </c>
      <c r="K62" s="48">
        <v>2.6</v>
      </c>
    </row>
    <row r="63" spans="1:11" x14ac:dyDescent="0.25">
      <c r="A63" s="47" t="s">
        <v>81</v>
      </c>
      <c r="B63" s="4">
        <v>2.1167058810000001</v>
      </c>
      <c r="C63" s="49">
        <v>1377</v>
      </c>
      <c r="D63" s="49">
        <v>9100</v>
      </c>
      <c r="E63" s="48">
        <v>8</v>
      </c>
      <c r="F63" s="49">
        <v>7137</v>
      </c>
      <c r="G63" s="49">
        <v>238068</v>
      </c>
      <c r="H63" s="49">
        <v>654450</v>
      </c>
      <c r="I63" s="50">
        <v>10528.02</v>
      </c>
      <c r="J63" s="50">
        <v>39045.980000000003</v>
      </c>
      <c r="K63" s="48">
        <v>5.97</v>
      </c>
    </row>
    <row r="64" spans="1:11" x14ac:dyDescent="0.25">
      <c r="A64" s="47" t="s">
        <v>82</v>
      </c>
      <c r="B64" s="4">
        <v>0.92943160999999996</v>
      </c>
      <c r="C64" s="48">
        <v>321</v>
      </c>
      <c r="D64" s="49">
        <v>2020</v>
      </c>
      <c r="E64" s="48">
        <v>2</v>
      </c>
      <c r="F64" s="49">
        <v>1546</v>
      </c>
      <c r="G64" s="49">
        <v>39086</v>
      </c>
      <c r="H64" s="49">
        <v>58460</v>
      </c>
      <c r="I64" s="50">
        <v>7921.68</v>
      </c>
      <c r="J64" s="48">
        <v>952.98</v>
      </c>
      <c r="K64" s="48">
        <v>1.63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Tổng hợp</vt:lpstr>
      <vt:lpstr>Gia nhập thị trường</vt:lpstr>
      <vt:lpstr>Tiếp cận đất đai</vt:lpstr>
      <vt:lpstr>Tính Minh bạch</vt:lpstr>
      <vt:lpstr>Chi phí thời gian</vt:lpstr>
      <vt:lpstr>Chi phí không chính thức</vt:lpstr>
      <vt:lpstr>Cạnh tranh bình đẳng</vt:lpstr>
      <vt:lpstr>Tính Năng động</vt:lpstr>
      <vt:lpstr>Chính sách hỗ trợ DN</vt:lpstr>
      <vt:lpstr>Đào tạo lao động</vt:lpstr>
      <vt:lpstr>Thiết chế pháp lý và ANTT</vt:lpstr>
      <vt:lpstr>Tập trung dân cư</vt:lpstr>
      <vt:lpstr>Bão hòa khu vực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Nhân Thiện</cp:lastModifiedBy>
  <dcterms:modified xsi:type="dcterms:W3CDTF">2025-11-12T09:30:41Z</dcterms:modified>
</cp:coreProperties>
</file>